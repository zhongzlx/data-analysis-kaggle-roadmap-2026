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_analyst\01_data\"/>
    </mc:Choice>
  </mc:AlternateContent>
  <xr:revisionPtr revIDLastSave="0" documentId="13_ncr:1_{C13B047D-0334-4297-A003-51EB8C4105E5}" xr6:coauthVersionLast="47" xr6:coauthVersionMax="47" xr10:uidLastSave="{00000000-0000-0000-0000-000000000000}"/>
  <bookViews>
    <workbookView xWindow="-110" yWindow="-110" windowWidth="22620" windowHeight="13500" activeTab="1" xr2:uid="{BCB3E7EF-1DD8-4D9F-BCCC-82C7A160E99B}"/>
  </bookViews>
  <sheets>
    <sheet name="data" sheetId="2" r:id="rId1"/>
    <sheet name="Sheet2" sheetId="3" r:id="rId2"/>
  </sheets>
  <definedNames>
    <definedName name="ExternalData_1" localSheetId="0" hidden="1">data!$A$1:$F$101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79CFDA-D908-486A-B4E3-A7E96D9F56B3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<sst xmlns="http://schemas.openxmlformats.org/spreadsheetml/2006/main" count="814" uniqueCount="236">
  <si>
    <t>订单号</t>
  </si>
  <si>
    <t>商品名称_规格</t>
  </si>
  <si>
    <t>金额</t>
  </si>
  <si>
    <t>下单时间</t>
  </si>
  <si>
    <t>收货省市</t>
  </si>
  <si>
    <t>商品品类</t>
  </si>
  <si>
    <t>ORD001</t>
  </si>
  <si>
    <t>iPhone 15 Pro 256G</t>
  </si>
  <si>
    <t xml:space="preserve"> 广东省</t>
  </si>
  <si>
    <t>纯棉T恤 白色M码</t>
  </si>
  <si>
    <t xml:space="preserve"> 浙江省</t>
  </si>
  <si>
    <t>小米空气净化器4</t>
  </si>
  <si>
    <t xml:space="preserve"> 上海市</t>
  </si>
  <si>
    <t>耐克Air Jordan 1 42码</t>
  </si>
  <si>
    <t xml:space="preserve"> 江苏省</t>
  </si>
  <si>
    <t>华为MateBook 14</t>
  </si>
  <si>
    <t>SK-II神仙水 230ml</t>
  </si>
  <si>
    <t xml:space="preserve"> 北京市</t>
  </si>
  <si>
    <t>九阳破壁机</t>
  </si>
  <si>
    <t xml:space="preserve"> 四川省</t>
  </si>
  <si>
    <t>阿迪达斯运动裤 L码</t>
  </si>
  <si>
    <t xml:space="preserve"> 湖北省</t>
  </si>
  <si>
    <t>Apple Watch S9</t>
  </si>
  <si>
    <t>美的空调1.5匹</t>
  </si>
  <si>
    <t xml:space="preserve"> 湖南省</t>
  </si>
  <si>
    <t>兰蔻小黑瓶 50ml</t>
  </si>
  <si>
    <t>罗技G502鼠标</t>
  </si>
  <si>
    <t>李宁运动鞋 43码</t>
  </si>
  <si>
    <t xml:space="preserve"> 山东省</t>
  </si>
  <si>
    <t>索尼WH-1000XM5耳机</t>
  </si>
  <si>
    <t>苏泊尔电饭煲</t>
  </si>
  <si>
    <t xml:space="preserve"> 河南省</t>
  </si>
  <si>
    <t>雅诗兰黛小棕瓶</t>
  </si>
  <si>
    <t>戴尔XPS13</t>
  </si>
  <si>
    <t>优衣库牛仔裤 30码</t>
  </si>
  <si>
    <t>三星S24 Ultra</t>
  </si>
  <si>
    <t>格力冰箱 256L</t>
  </si>
  <si>
    <t>资生堂红腰子</t>
  </si>
  <si>
    <t>惠普暗影精灵9</t>
  </si>
  <si>
    <t>彪马卫衣 M码</t>
  </si>
  <si>
    <t>Bose QuietComfort耳机</t>
  </si>
  <si>
    <t>老板油烟机</t>
  </si>
  <si>
    <t>纪梵希散粉</t>
  </si>
  <si>
    <t>联想拯救者Y9000P</t>
  </si>
  <si>
    <t>安踏篮球鞋 44码</t>
  </si>
  <si>
    <t>一加12</t>
  </si>
  <si>
    <t>西门子洗衣机</t>
  </si>
  <si>
    <t>海蓝之谜精粹水</t>
  </si>
  <si>
    <t>华硕ROG枪神7</t>
  </si>
  <si>
    <t>New Balance运动鞋 42码</t>
  </si>
  <si>
    <t>AirPods Pro 2</t>
  </si>
  <si>
    <t>方太燃气灶</t>
  </si>
  <si>
    <t>香奈儿粉底液</t>
  </si>
  <si>
    <t>MacBook Air M2</t>
  </si>
  <si>
    <t>森马休闲裤 L码</t>
  </si>
  <si>
    <t>荣耀Magic6 Pro</t>
  </si>
  <si>
    <t>松下微波炉</t>
  </si>
  <si>
    <t>迪奥999口红</t>
  </si>
  <si>
    <t>Surface Laptop 5</t>
  </si>
  <si>
    <t>匡威帆布鞋 41码</t>
  </si>
  <si>
    <t>iPad Pro 12.9</t>
  </si>
  <si>
    <t>海尔热水器</t>
  </si>
  <si>
    <t>娇韵诗双萃精华</t>
  </si>
  <si>
    <t>外星人x14</t>
  </si>
  <si>
    <t>卡帕外套 M码</t>
  </si>
  <si>
    <t>小米14 Ultra</t>
  </si>
  <si>
    <t>美的扫地机器人</t>
  </si>
  <si>
    <t>YSL小金条</t>
  </si>
  <si>
    <t>ThinkPad X1 Carbon</t>
  </si>
  <si>
    <t>回力帆布鞋 42码</t>
  </si>
  <si>
    <t>Sony Xperia 5 V</t>
  </si>
  <si>
    <t>卡萨帝洗衣机</t>
  </si>
  <si>
    <t>雪花秀润燥精华</t>
  </si>
  <si>
    <t>微星泰坦GT77</t>
  </si>
  <si>
    <t>七匹狼皮带</t>
  </si>
  <si>
    <t>realme GT5</t>
  </si>
  <si>
    <t>LG冰箱 300L</t>
  </si>
  <si>
    <t>TF黑管口红</t>
  </si>
  <si>
    <t>ROG幻16</t>
  </si>
  <si>
    <t>无印良品衬衫 M码</t>
  </si>
  <si>
    <t>OPPO Find X7</t>
  </si>
  <si>
    <t>博世洗碗机</t>
  </si>
  <si>
    <t>倩碧黄油</t>
  </si>
  <si>
    <t>雷蛇灵刃14</t>
  </si>
  <si>
    <t>稻草人钱包</t>
  </si>
  <si>
    <t>vivo X100 Pro</t>
  </si>
  <si>
    <t>夏普电视 65寸</t>
  </si>
  <si>
    <t>阿玛尼粉底液</t>
  </si>
  <si>
    <t>MacBook Pro 14</t>
  </si>
  <si>
    <t>杰克琼斯牛仔裤 32码</t>
  </si>
  <si>
    <t>Redmi K70 Pro</t>
  </si>
  <si>
    <t>史密斯热水器</t>
  </si>
  <si>
    <t>科颜氏白泥</t>
  </si>
  <si>
    <t>外星人Area-51m</t>
  </si>
  <si>
    <t>马克华菲夹克 M码</t>
  </si>
  <si>
    <t>iQOO 12</t>
  </si>
  <si>
    <t>松下空气净化器</t>
  </si>
  <si>
    <t>祖玛珑香水</t>
  </si>
  <si>
    <t>Surface Pro 9</t>
  </si>
  <si>
    <t>李维斯牛仔裤 31码</t>
  </si>
  <si>
    <t>努比亚Z60 Ultra</t>
  </si>
  <si>
    <t>老板消毒柜</t>
  </si>
  <si>
    <t>悦木之源菌菇水</t>
  </si>
  <si>
    <t>ROG冰刃7</t>
  </si>
  <si>
    <t>南极人保暖内衣 L码</t>
  </si>
  <si>
    <t>摩托罗拉edge S30</t>
  </si>
  <si>
    <t>美的微波炉</t>
  </si>
  <si>
    <t>圣罗兰气垫</t>
  </si>
  <si>
    <t>华为MateBook X Pro</t>
  </si>
  <si>
    <t>斯凯奇运动鞋 43码</t>
  </si>
  <si>
    <t>Google Pixel 8 Pro</t>
  </si>
  <si>
    <t>西门子油烟机</t>
  </si>
  <si>
    <t>兰蔻粉水</t>
  </si>
  <si>
    <t>微星绝影14</t>
  </si>
  <si>
    <t>花花公子皮带</t>
  </si>
  <si>
    <t>魅族20 Pro</t>
  </si>
  <si>
    <t>苏泊尔电磁炉</t>
  </si>
  <si>
    <t>家用电器</t>
  </si>
  <si>
    <t>手机数码</t>
  </si>
  <si>
    <t>ORD002</t>
  </si>
  <si>
    <t>服饰鞋包</t>
  </si>
  <si>
    <t>ORD003</t>
  </si>
  <si>
    <t>ORD004</t>
  </si>
  <si>
    <t>ORD005</t>
  </si>
  <si>
    <t>电脑办公</t>
  </si>
  <si>
    <t>ORD006</t>
  </si>
  <si>
    <t>个护美妆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</si>
  <si>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</si>
  <si>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</si>
  <si>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</si>
  <si>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</si>
  <si>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</si>
  <si>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</si>
  <si>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</si>
  <si>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</si>
  <si>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</si>
  <si>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</si>
  <si>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</si>
  <si>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</si>
  <si>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</si>
  <si>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</si>
  <si>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</si>
  <si>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</si>
  <si>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</si>
  <si>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</si>
  <si>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</si>
  <si>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</si>
  <si>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</si>
  <si>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</si>
  <si>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</si>
  <si>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</si>
  <si>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</si>
  <si>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</si>
  <si>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</si>
  <si>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</si>
  <si>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</si>
  <si>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</si>
  <si>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</si>
  <si>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</si>
  <si>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</si>
  <si>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</si>
  <si>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</si>
  <si>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</si>
  <si>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</si>
  <si>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</si>
  <si>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</si>
  <si>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</si>
  <si>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</si>
  <si>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</si>
  <si>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</si>
  <si>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</si>
  <si>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</si>
  <si>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</si>
  <si>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</si>
  <si>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</si>
  <si>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</si>
  <si>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</si>
  <si>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</si>
  <si>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</si>
  <si>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</si>
  <si>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</si>
  <si>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</si>
  <si>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</si>
  <si>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</si>
  <si>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</si>
  <si>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</si>
  <si>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</si>
  <si>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</si>
  <si>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</si>
  <si>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</si>
  <si>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</si>
  <si>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</si>
  <si>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</si>
  <si>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</si>
  <si>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</si>
  <si>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</si>
  <si>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</si>
  <si>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</si>
  <si>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</si>
  <si>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</si>
  <si>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</si>
  <si>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</si>
  <si>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</si>
  <si>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</si>
  <si>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</si>
  <si>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</si>
  <si>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</si>
  <si>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</si>
  <si>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</si>
  <si>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</si>
  <si>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</si>
  <si>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</si>
  <si>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</si>
  <si>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</si>
  <si>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</si>
  <si>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</si>
  <si>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</si>
  <si>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</si>
  <si>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</si>
  <si>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</si>
  <si>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</si>
  <si>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服饰鞋包</t>
    <phoneticPr fontId="1" type="noConversion"/>
  </si>
  <si>
    <t>手机数码</t>
    <phoneticPr fontId="1" type="noConversion"/>
  </si>
  <si>
    <t>收货省市_清洗后</t>
  </si>
  <si>
    <t>广东省</t>
  </si>
  <si>
    <t>浙江省</t>
  </si>
  <si>
    <t>上海市</t>
  </si>
  <si>
    <t>江苏省</t>
  </si>
  <si>
    <t>北京市</t>
  </si>
  <si>
    <t>四川省</t>
  </si>
  <si>
    <t>湖北省</t>
  </si>
  <si>
    <t>湖南省</t>
  </si>
  <si>
    <t>山东省</t>
  </si>
  <si>
    <t>河南省</t>
  </si>
  <si>
    <t>商品名称</t>
  </si>
  <si>
    <t>商品规格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</si>
</sst>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6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1" xfId="0" applyFont="1" applyBorder="1" applyAlignment="1">
      <alignment horizontal="left" vertical="center" wrapText="1"/>
    </xf>
    <xf numFmtId="22" fontId="2" fillId="0" borderId="1" xfId="0" applyNumberFormat="1" applyFont="1" applyBorder="1" applyAlignment="1">
      <alignment horizontal="left" vertical="center" wrapText="1"/>
    </xf>
    <xf numFmtId="22" fontId="0" fillId="0" borderId="0" xfId="0" applyNumberFormat="1" applyAlignment="1">
      <alignment horizontal="left" vertical="center"/>
    </xf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31D3FC-3D53-4CA4-BC8C-CCF4B905662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5DCB7-F676-465A-8B2A-726AFF7CAC8A}" name="data" displayName="data" ref="A1:F101" tableType="queryTable" totalsRowShown="0">
  <autoFilter ref="A1:F101" xr:uid="{BD85DCB7-F676-465A-8B2A-726AFF7CAC8A}"/>
  <tableColumns count="6">
    <tableColumn id="1" xr3:uid="{823DCCC5-E7D9-47E0-9A0A-5C0A1B2E10C5}" uniqueName="1" name="订单号" queryTableFieldId="1" dataDxfId="4"/>
    <tableColumn id="2" xr3:uid="{6CF44D55-5920-44C0-A944-6CB26176A131}" uniqueName="2" name="商品名称_规格" queryTableFieldId="2" dataDxfId="3"/>
    <tableColumn id="3" xr3:uid="{3CBD0ED7-BC0F-4272-83BC-BF05EFFA14EA}" uniqueName="3" name="金额" queryTableFieldId="3"/>
    <tableColumn id="4" xr3:uid="{B334491B-0A96-46CB-A345-1E9157937B83}" uniqueName="4" name="下单时间" queryTableFieldId="4" dataDxfId="2"/>
    <tableColumn id="5" xr3:uid="{C7569328-6D9D-4696-92BD-16E73ECC6EF9}" uniqueName="5" name="收货省市" queryTableFieldId="5" dataDxfId="1"/>
    <tableColumn id="6" xr3:uid="{0A51E319-106F-4AC0-B364-B01D140B7956}" uniqueName="6" name="商品品类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425F-CCC5-44AB-9F25-6946DF04457E}">
  <dimension ref="A1:F101"/>
  <sheetViews>
    <sheetView topLeftCell="A48" workbookViewId="0">
      <selection activeCell="G9" sqref="G9"/>
    </sheetView>
  </sheetViews>
  <sheetFormatPr defaultRowHeight="14" x14ac:dyDescent="0.3"/>
  <cols>
    <col min="1" max="1" width="10.75" bestFit="1" customWidth="1"/>
    <col min="2" max="2" width="21.83203125" bestFit="1" customWidth="1"/>
    <col min="3" max="3" width="10.75" bestFit="1" customWidth="1"/>
    <col min="4" max="4" width="14.75" bestFit="1" customWidth="1"/>
    <col min="5" max="6" width="10.75" bestFit="1" customWidth="1"/>
  </cols>
  <sheetData>
    <row r="1" spans="1:6" ht="14.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3" t="s">
        <v>6</v>
      </c>
      <c r="B2" s="3" t="s">
        <v>7</v>
      </c>
      <c r="C2">
        <v>7999</v>
      </c>
      <c r="D2" s="2">
        <v>45662.604166666664</v>
      </c>
      <c r="E2" s="3" t="s">
        <v>8</v>
      </c>
      <c r="F2" s="3" t="s">
        <v>118</v>
      </c>
    </row>
    <row r="3" spans="1:6" x14ac:dyDescent="0.3">
      <c r="A3" s="3" t="s">
        <v>119</v>
      </c>
      <c r="B3" s="3" t="s">
        <v>9</v>
      </c>
      <c r="C3">
        <v>99</v>
      </c>
      <c r="D3" s="2">
        <v>45663.385416666664</v>
      </c>
      <c r="E3" s="3" t="s">
        <v>10</v>
      </c>
      <c r="F3" s="3" t="s">
        <v>120</v>
      </c>
    </row>
    <row r="4" spans="1:6" x14ac:dyDescent="0.3">
      <c r="A4" s="3" t="s">
        <v>121</v>
      </c>
      <c r="B4" s="3" t="s">
        <v>11</v>
      </c>
      <c r="C4">
        <v>899</v>
      </c>
      <c r="D4" s="2">
        <v>45664.864583333336</v>
      </c>
      <c r="E4" s="3" t="s">
        <v>12</v>
      </c>
      <c r="F4" s="3" t="s">
        <v>117</v>
      </c>
    </row>
    <row r="5" spans="1:6" x14ac:dyDescent="0.3">
      <c r="A5" s="3" t="s">
        <v>122</v>
      </c>
      <c r="B5" s="3" t="s">
        <v>13</v>
      </c>
      <c r="C5">
        <v>899</v>
      </c>
      <c r="D5" s="2">
        <v>45665.472222222219</v>
      </c>
      <c r="E5" s="3" t="s">
        <v>14</v>
      </c>
      <c r="F5" s="3" t="s">
        <v>120</v>
      </c>
    </row>
    <row r="6" spans="1:6" x14ac:dyDescent="0.3">
      <c r="A6" s="3" t="s">
        <v>123</v>
      </c>
      <c r="B6" s="3" t="s">
        <v>15</v>
      </c>
      <c r="C6">
        <v>5699</v>
      </c>
      <c r="D6" s="2">
        <v>45666.701388888891</v>
      </c>
      <c r="E6" s="3" t="s">
        <v>8</v>
      </c>
      <c r="F6" s="3" t="s">
        <v>124</v>
      </c>
    </row>
    <row r="7" spans="1:6" x14ac:dyDescent="0.3">
      <c r="A7" s="3" t="s">
        <v>125</v>
      </c>
      <c r="B7" s="3" t="s">
        <v>16</v>
      </c>
      <c r="C7">
        <v>1590</v>
      </c>
      <c r="D7" s="2">
        <v>45667.4375</v>
      </c>
      <c r="E7" s="3" t="s">
        <v>17</v>
      </c>
      <c r="F7" s="3" t="s">
        <v>126</v>
      </c>
    </row>
    <row r="8" spans="1:6" x14ac:dyDescent="0.3">
      <c r="A8" s="3" t="s">
        <v>127</v>
      </c>
      <c r="B8" s="3" t="s">
        <v>18</v>
      </c>
      <c r="C8">
        <v>399</v>
      </c>
      <c r="D8" s="2">
        <v>45668.809027777781</v>
      </c>
      <c r="E8" s="3" t="s">
        <v>19</v>
      </c>
      <c r="F8" s="3" t="s">
        <v>117</v>
      </c>
    </row>
    <row r="9" spans="1:6" x14ac:dyDescent="0.3">
      <c r="A9" s="3" t="s">
        <v>128</v>
      </c>
      <c r="B9" s="3" t="s">
        <v>20</v>
      </c>
      <c r="C9">
        <v>299</v>
      </c>
      <c r="D9" s="2">
        <v>45669.652777777781</v>
      </c>
      <c r="E9" s="3" t="s">
        <v>21</v>
      </c>
      <c r="F9" s="3" t="s">
        <v>120</v>
      </c>
    </row>
    <row r="10" spans="1:6" x14ac:dyDescent="0.3">
      <c r="A10" s="3" t="s">
        <v>129</v>
      </c>
      <c r="B10" s="3" t="s">
        <v>22</v>
      </c>
      <c r="C10">
        <v>2999</v>
      </c>
      <c r="D10" s="2">
        <v>45670.371527777781</v>
      </c>
      <c r="E10" s="3" t="s">
        <v>8</v>
      </c>
      <c r="F10" s="3" t="s">
        <v>118</v>
      </c>
    </row>
    <row r="11" spans="1:6" x14ac:dyDescent="0.3">
      <c r="A11" s="3" t="s">
        <v>130</v>
      </c>
      <c r="B11" s="3" t="s">
        <v>23</v>
      </c>
      <c r="C11">
        <v>2699</v>
      </c>
      <c r="D11" s="2">
        <v>45671.881944444445</v>
      </c>
      <c r="E11" s="3" t="s">
        <v>24</v>
      </c>
      <c r="F11" s="3" t="s">
        <v>117</v>
      </c>
    </row>
    <row r="12" spans="1:6" x14ac:dyDescent="0.3">
      <c r="A12" s="3" t="s">
        <v>131</v>
      </c>
      <c r="B12" s="3" t="s">
        <v>25</v>
      </c>
      <c r="C12">
        <v>1080</v>
      </c>
      <c r="D12" s="2">
        <v>45672.586805555555</v>
      </c>
      <c r="E12" s="3" t="s">
        <v>12</v>
      </c>
      <c r="F12" s="3" t="s">
        <v>126</v>
      </c>
    </row>
    <row r="13" spans="1:6" x14ac:dyDescent="0.3">
      <c r="A13" s="3" t="s">
        <v>132</v>
      </c>
      <c r="B13" s="3" t="s">
        <v>26</v>
      </c>
      <c r="C13">
        <v>399</v>
      </c>
      <c r="D13" s="2">
        <v>45673.729166666664</v>
      </c>
      <c r="E13" s="3" t="s">
        <v>10</v>
      </c>
      <c r="F13" s="3" t="s">
        <v>124</v>
      </c>
    </row>
    <row r="14" spans="1:6" x14ac:dyDescent="0.3">
      <c r="A14" s="3" t="s">
        <v>133</v>
      </c>
      <c r="B14" s="3" t="s">
        <v>27</v>
      </c>
      <c r="C14">
        <v>369</v>
      </c>
      <c r="D14" s="2">
        <v>45674.53125</v>
      </c>
      <c r="E14" s="3" t="s">
        <v>28</v>
      </c>
      <c r="F14" s="3" t="s">
        <v>120</v>
      </c>
    </row>
    <row r="15" spans="1:6" x14ac:dyDescent="0.3">
      <c r="A15" s="3" t="s">
        <v>134</v>
      </c>
      <c r="B15" s="3" t="s">
        <v>29</v>
      </c>
      <c r="C15">
        <v>2499</v>
      </c>
      <c r="D15" s="2">
        <v>45675.399305555555</v>
      </c>
      <c r="E15" s="3" t="s">
        <v>8</v>
      </c>
      <c r="F15" s="3" t="s">
        <v>118</v>
      </c>
    </row>
    <row r="16" spans="1:6" x14ac:dyDescent="0.3">
      <c r="A16" s="3" t="s">
        <v>135</v>
      </c>
      <c r="B16" s="3" t="s">
        <v>30</v>
      </c>
      <c r="C16">
        <v>299</v>
      </c>
      <c r="D16" s="2">
        <v>45676.833333333336</v>
      </c>
      <c r="E16" s="3" t="s">
        <v>31</v>
      </c>
      <c r="F16" s="3" t="s">
        <v>117</v>
      </c>
    </row>
    <row r="17" spans="1:6" x14ac:dyDescent="0.3">
      <c r="A17" s="3" t="s">
        <v>136</v>
      </c>
      <c r="B17" s="3" t="s">
        <v>32</v>
      </c>
      <c r="C17">
        <v>980</v>
      </c>
      <c r="D17" s="2">
        <v>45677.493055555555</v>
      </c>
      <c r="E17" s="3" t="s">
        <v>17</v>
      </c>
      <c r="F17" s="3" t="s">
        <v>126</v>
      </c>
    </row>
    <row r="18" spans="1:6" x14ac:dyDescent="0.3">
      <c r="A18" s="3" t="s">
        <v>137</v>
      </c>
      <c r="B18" s="3" t="s">
        <v>33</v>
      </c>
      <c r="C18">
        <v>7999</v>
      </c>
      <c r="D18" s="2">
        <v>45678.680555555555</v>
      </c>
      <c r="E18" s="3" t="s">
        <v>14</v>
      </c>
      <c r="F18" s="3" t="s">
        <v>124</v>
      </c>
    </row>
    <row r="19" spans="1:6" x14ac:dyDescent="0.3">
      <c r="A19" s="3" t="s">
        <v>138</v>
      </c>
      <c r="B19" s="3" t="s">
        <v>34</v>
      </c>
      <c r="C19">
        <v>199</v>
      </c>
      <c r="D19" s="2">
        <v>45679.423611111109</v>
      </c>
      <c r="E19" s="3" t="s">
        <v>19</v>
      </c>
      <c r="F19" s="3" t="s">
        <v>120</v>
      </c>
    </row>
    <row r="20" spans="1:6" x14ac:dyDescent="0.3">
      <c r="A20" s="3" t="s">
        <v>139</v>
      </c>
      <c r="B20" s="3" t="s">
        <v>35</v>
      </c>
      <c r="C20">
        <v>8999</v>
      </c>
      <c r="D20" s="2">
        <v>45680.78125</v>
      </c>
      <c r="E20" s="3" t="s">
        <v>8</v>
      </c>
      <c r="F20" s="3" t="s">
        <v>118</v>
      </c>
    </row>
    <row r="21" spans="1:6" x14ac:dyDescent="0.3">
      <c r="A21" s="3" t="s">
        <v>140</v>
      </c>
      <c r="B21" s="3" t="s">
        <v>36</v>
      </c>
      <c r="C21">
        <v>2199</v>
      </c>
      <c r="D21" s="2">
        <v>45681.625</v>
      </c>
      <c r="E21" s="3" t="s">
        <v>21</v>
      </c>
      <c r="F21" s="3" t="s">
        <v>117</v>
      </c>
    </row>
    <row r="22" spans="1:6" x14ac:dyDescent="0.3">
      <c r="A22" s="3" t="s">
        <v>141</v>
      </c>
      <c r="B22" s="3" t="s">
        <v>37</v>
      </c>
      <c r="C22">
        <v>860</v>
      </c>
      <c r="D22" s="2">
        <v>45682.388888888891</v>
      </c>
      <c r="E22" s="3" t="s">
        <v>12</v>
      </c>
      <c r="F22" s="3" t="s">
        <v>126</v>
      </c>
    </row>
    <row r="23" spans="1:6" x14ac:dyDescent="0.3">
      <c r="A23" s="3" t="s">
        <v>142</v>
      </c>
      <c r="B23" s="3" t="s">
        <v>38</v>
      </c>
      <c r="C23">
        <v>6999</v>
      </c>
      <c r="D23" s="2">
        <v>45683.607638888891</v>
      </c>
      <c r="E23" s="3" t="s">
        <v>10</v>
      </c>
      <c r="F23" s="3" t="s">
        <v>124</v>
      </c>
    </row>
    <row r="24" spans="1:6" x14ac:dyDescent="0.3">
      <c r="A24" s="3" t="s">
        <v>143</v>
      </c>
      <c r="B24" s="3" t="s">
        <v>39</v>
      </c>
      <c r="C24">
        <v>249</v>
      </c>
      <c r="D24" s="2">
        <v>45684.829861111109</v>
      </c>
      <c r="E24" s="3" t="s">
        <v>28</v>
      </c>
      <c r="F24" s="3" t="s">
        <v>221</v>
      </c>
    </row>
    <row r="25" spans="1:6" x14ac:dyDescent="0.3">
      <c r="A25" s="3" t="s">
        <v>144</v>
      </c>
      <c r="B25" s="3" t="s">
        <v>40</v>
      </c>
      <c r="C25">
        <v>1999</v>
      </c>
      <c r="D25" s="2">
        <v>45685.46875</v>
      </c>
      <c r="E25" s="3" t="s">
        <v>8</v>
      </c>
      <c r="F25" s="3" t="s">
        <v>118</v>
      </c>
    </row>
    <row r="26" spans="1:6" x14ac:dyDescent="0.3">
      <c r="A26" s="3" t="s">
        <v>145</v>
      </c>
      <c r="B26" s="3" t="s">
        <v>41</v>
      </c>
      <c r="C26">
        <v>3299</v>
      </c>
      <c r="D26" s="2">
        <v>45686.854166666664</v>
      </c>
      <c r="E26" s="3" t="s">
        <v>24</v>
      </c>
      <c r="F26" s="3" t="s">
        <v>117</v>
      </c>
    </row>
    <row r="27" spans="1:6" x14ac:dyDescent="0.3">
      <c r="A27" s="3" t="s">
        <v>146</v>
      </c>
      <c r="B27" s="3" t="s">
        <v>42</v>
      </c>
      <c r="C27">
        <v>580</v>
      </c>
      <c r="D27" s="2">
        <v>45687.444444444445</v>
      </c>
      <c r="E27" s="3" t="s">
        <v>17</v>
      </c>
      <c r="F27" s="3" t="s">
        <v>126</v>
      </c>
    </row>
    <row r="28" spans="1:6" x14ac:dyDescent="0.3">
      <c r="A28" s="3" t="s">
        <v>147</v>
      </c>
      <c r="B28" s="3" t="s">
        <v>43</v>
      </c>
      <c r="C28">
        <v>8999</v>
      </c>
      <c r="D28" s="2">
        <v>45688.670138888891</v>
      </c>
      <c r="E28" s="3" t="s">
        <v>14</v>
      </c>
      <c r="F28" s="3" t="s">
        <v>124</v>
      </c>
    </row>
    <row r="29" spans="1:6" x14ac:dyDescent="0.3">
      <c r="A29" s="3" t="s">
        <v>148</v>
      </c>
      <c r="B29" s="3" t="s">
        <v>44</v>
      </c>
      <c r="C29">
        <v>459</v>
      </c>
      <c r="D29" s="2">
        <v>45689.517361111109</v>
      </c>
      <c r="E29" s="3" t="s">
        <v>19</v>
      </c>
      <c r="F29" s="3" t="s">
        <v>120</v>
      </c>
    </row>
    <row r="30" spans="1:6" x14ac:dyDescent="0.3">
      <c r="A30" s="3" t="s">
        <v>149</v>
      </c>
      <c r="B30" s="3" t="s">
        <v>45</v>
      </c>
      <c r="C30">
        <v>4299</v>
      </c>
      <c r="D30" s="2">
        <v>45690.354166666664</v>
      </c>
      <c r="E30" s="3" t="s">
        <v>8</v>
      </c>
      <c r="F30" s="3" t="s">
        <v>118</v>
      </c>
    </row>
    <row r="31" spans="1:6" x14ac:dyDescent="0.3">
      <c r="A31" s="3" t="s">
        <v>150</v>
      </c>
      <c r="B31" s="3" t="s">
        <v>46</v>
      </c>
      <c r="C31">
        <v>3499</v>
      </c>
      <c r="D31" s="2">
        <v>45691.90625</v>
      </c>
      <c r="E31" s="3" t="s">
        <v>31</v>
      </c>
      <c r="F31" s="3" t="s">
        <v>117</v>
      </c>
    </row>
    <row r="32" spans="1:6" x14ac:dyDescent="0.3">
      <c r="A32" s="3" t="s">
        <v>151</v>
      </c>
      <c r="B32" s="3" t="s">
        <v>47</v>
      </c>
      <c r="C32">
        <v>1290</v>
      </c>
      <c r="D32" s="2">
        <v>45692.659722222219</v>
      </c>
      <c r="E32" s="3" t="s">
        <v>12</v>
      </c>
      <c r="F32" s="3" t="s">
        <v>126</v>
      </c>
    </row>
    <row r="33" spans="1:6" x14ac:dyDescent="0.3">
      <c r="A33" s="3" t="s">
        <v>152</v>
      </c>
      <c r="B33" s="3" t="s">
        <v>48</v>
      </c>
      <c r="C33">
        <v>9999</v>
      </c>
      <c r="D33" s="2">
        <v>45693.715277777781</v>
      </c>
      <c r="E33" s="3" t="s">
        <v>10</v>
      </c>
      <c r="F33" s="3" t="s">
        <v>124</v>
      </c>
    </row>
    <row r="34" spans="1:6" x14ac:dyDescent="0.3">
      <c r="A34" s="3" t="s">
        <v>153</v>
      </c>
      <c r="B34" s="3" t="s">
        <v>49</v>
      </c>
      <c r="C34">
        <v>599</v>
      </c>
      <c r="D34" s="2">
        <v>45694.40625</v>
      </c>
      <c r="E34" s="3" t="s">
        <v>28</v>
      </c>
      <c r="F34" s="3" t="s">
        <v>120</v>
      </c>
    </row>
    <row r="35" spans="1:6" x14ac:dyDescent="0.3">
      <c r="A35" s="3" t="s">
        <v>154</v>
      </c>
      <c r="B35" s="3" t="s">
        <v>50</v>
      </c>
      <c r="C35">
        <v>1899</v>
      </c>
      <c r="D35" s="2">
        <v>45695.583333333336</v>
      </c>
      <c r="E35" s="3" t="s">
        <v>8</v>
      </c>
      <c r="F35" s="3" t="s">
        <v>118</v>
      </c>
    </row>
    <row r="36" spans="1:6" x14ac:dyDescent="0.3">
      <c r="A36" s="3" t="s">
        <v>155</v>
      </c>
      <c r="B36" s="3" t="s">
        <v>51</v>
      </c>
      <c r="C36">
        <v>1899</v>
      </c>
      <c r="D36" s="2">
        <v>45696.815972222219</v>
      </c>
      <c r="E36" s="3" t="s">
        <v>21</v>
      </c>
      <c r="F36" s="3" t="s">
        <v>117</v>
      </c>
    </row>
    <row r="37" spans="1:6" x14ac:dyDescent="0.3">
      <c r="A37" s="3" t="s">
        <v>156</v>
      </c>
      <c r="B37" s="3" t="s">
        <v>52</v>
      </c>
      <c r="C37">
        <v>630</v>
      </c>
      <c r="D37" s="2">
        <v>45697.479166666664</v>
      </c>
      <c r="E37" s="3" t="s">
        <v>17</v>
      </c>
      <c r="F37" s="3" t="s">
        <v>126</v>
      </c>
    </row>
    <row r="38" spans="1:6" x14ac:dyDescent="0.3">
      <c r="A38" s="3" t="s">
        <v>157</v>
      </c>
      <c r="B38" s="3" t="s">
        <v>53</v>
      </c>
      <c r="C38">
        <v>8999</v>
      </c>
      <c r="D38" s="2">
        <v>45698.697916666664</v>
      </c>
      <c r="E38" s="3" t="s">
        <v>12</v>
      </c>
      <c r="F38" s="3" t="s">
        <v>124</v>
      </c>
    </row>
    <row r="39" spans="1:6" x14ac:dyDescent="0.3">
      <c r="A39" s="3" t="s">
        <v>158</v>
      </c>
      <c r="B39" s="3" t="s">
        <v>54</v>
      </c>
      <c r="C39">
        <v>159</v>
      </c>
      <c r="D39" s="2">
        <v>45699.420138888891</v>
      </c>
      <c r="E39" s="3" t="s">
        <v>19</v>
      </c>
      <c r="F39" s="3" t="s">
        <v>120</v>
      </c>
    </row>
    <row r="40" spans="1:6" x14ac:dyDescent="0.3">
      <c r="A40" s="3" t="s">
        <v>159</v>
      </c>
      <c r="B40" s="3" t="s">
        <v>55</v>
      </c>
      <c r="C40">
        <v>4999</v>
      </c>
      <c r="D40" s="2">
        <v>45700.847222222219</v>
      </c>
      <c r="E40" s="3" t="s">
        <v>8</v>
      </c>
      <c r="F40" s="3" t="s">
        <v>118</v>
      </c>
    </row>
    <row r="41" spans="1:6" x14ac:dyDescent="0.3">
      <c r="A41" s="3" t="s">
        <v>160</v>
      </c>
      <c r="B41" s="3" t="s">
        <v>56</v>
      </c>
      <c r="C41">
        <v>899</v>
      </c>
      <c r="D41" s="2">
        <v>45701.642361111109</v>
      </c>
      <c r="E41" s="3" t="s">
        <v>31</v>
      </c>
      <c r="F41" s="3" t="s">
        <v>117</v>
      </c>
    </row>
    <row r="42" spans="1:6" x14ac:dyDescent="0.3">
      <c r="A42" s="3" t="s">
        <v>161</v>
      </c>
      <c r="B42" s="3" t="s">
        <v>57</v>
      </c>
      <c r="C42">
        <v>380</v>
      </c>
      <c r="D42" s="2">
        <v>45702.381944444445</v>
      </c>
      <c r="E42" s="3" t="s">
        <v>17</v>
      </c>
      <c r="F42" s="3" t="s">
        <v>126</v>
      </c>
    </row>
    <row r="43" spans="1:6" x14ac:dyDescent="0.3">
      <c r="A43" s="3" t="s">
        <v>162</v>
      </c>
      <c r="B43" s="3" t="s">
        <v>58</v>
      </c>
      <c r="C43">
        <v>7999</v>
      </c>
      <c r="D43" s="2">
        <v>45703.611111111109</v>
      </c>
      <c r="E43" s="3" t="s">
        <v>14</v>
      </c>
      <c r="F43" s="3" t="s">
        <v>124</v>
      </c>
    </row>
    <row r="44" spans="1:6" x14ac:dyDescent="0.3">
      <c r="A44" s="3" t="s">
        <v>163</v>
      </c>
      <c r="B44" s="3" t="s">
        <v>59</v>
      </c>
      <c r="C44">
        <v>399</v>
      </c>
      <c r="D44" s="2">
        <v>45704.788194444445</v>
      </c>
      <c r="E44" s="3" t="s">
        <v>10</v>
      </c>
      <c r="F44" s="3" t="s">
        <v>120</v>
      </c>
    </row>
    <row r="45" spans="1:6" x14ac:dyDescent="0.3">
      <c r="A45" s="3" t="s">
        <v>164</v>
      </c>
      <c r="B45" s="3" t="s">
        <v>60</v>
      </c>
      <c r="C45">
        <v>9999</v>
      </c>
      <c r="D45" s="2">
        <v>45705.493055555555</v>
      </c>
      <c r="E45" s="3" t="s">
        <v>8</v>
      </c>
      <c r="F45" s="3" t="s">
        <v>118</v>
      </c>
    </row>
    <row r="46" spans="1:6" x14ac:dyDescent="0.3">
      <c r="A46" s="3" t="s">
        <v>165</v>
      </c>
      <c r="B46" s="3" t="s">
        <v>61</v>
      </c>
      <c r="C46">
        <v>1299</v>
      </c>
      <c r="D46" s="2">
        <v>45706.875</v>
      </c>
      <c r="E46" s="3" t="s">
        <v>24</v>
      </c>
      <c r="F46" s="3" t="s">
        <v>117</v>
      </c>
    </row>
    <row r="47" spans="1:6" x14ac:dyDescent="0.3">
      <c r="A47" s="3" t="s">
        <v>166</v>
      </c>
      <c r="B47" s="3" t="s">
        <v>62</v>
      </c>
      <c r="C47">
        <v>960</v>
      </c>
      <c r="D47" s="2">
        <v>45707.434027777781</v>
      </c>
      <c r="E47" s="3" t="s">
        <v>12</v>
      </c>
      <c r="F47" s="3" t="s">
        <v>126</v>
      </c>
    </row>
    <row r="48" spans="1:6" x14ac:dyDescent="0.3">
      <c r="A48" s="3" t="s">
        <v>167</v>
      </c>
      <c r="B48" s="3" t="s">
        <v>63</v>
      </c>
      <c r="C48">
        <v>12999</v>
      </c>
      <c r="D48" s="2">
        <v>45708.690972222219</v>
      </c>
      <c r="E48" s="3" t="s">
        <v>28</v>
      </c>
      <c r="F48" s="3" t="s">
        <v>124</v>
      </c>
    </row>
    <row r="49" spans="1:6" x14ac:dyDescent="0.3">
      <c r="A49" s="3" t="s">
        <v>168</v>
      </c>
      <c r="B49" s="3" t="s">
        <v>64</v>
      </c>
      <c r="C49">
        <v>299</v>
      </c>
      <c r="D49" s="2">
        <v>45709.802083333336</v>
      </c>
      <c r="E49" s="3" t="s">
        <v>19</v>
      </c>
      <c r="F49" s="3" t="s">
        <v>120</v>
      </c>
    </row>
    <row r="50" spans="1:6" x14ac:dyDescent="0.3">
      <c r="A50" s="3" t="s">
        <v>169</v>
      </c>
      <c r="B50" s="3" t="s">
        <v>65</v>
      </c>
      <c r="C50">
        <v>5999</v>
      </c>
      <c r="D50" s="2">
        <v>45710.361111111109</v>
      </c>
      <c r="E50" s="3" t="s">
        <v>8</v>
      </c>
      <c r="F50" s="3" t="s">
        <v>118</v>
      </c>
    </row>
    <row r="51" spans="1:6" x14ac:dyDescent="0.3">
      <c r="A51" s="3" t="s">
        <v>170</v>
      </c>
      <c r="B51" s="3" t="s">
        <v>66</v>
      </c>
      <c r="C51">
        <v>2699</v>
      </c>
      <c r="D51" s="2">
        <v>45711.663194444445</v>
      </c>
      <c r="E51" s="3" t="s">
        <v>31</v>
      </c>
      <c r="F51" s="3" t="s">
        <v>117</v>
      </c>
    </row>
    <row r="52" spans="1:6" x14ac:dyDescent="0.3">
      <c r="A52" s="3" t="s">
        <v>171</v>
      </c>
      <c r="B52" s="3" t="s">
        <v>67</v>
      </c>
      <c r="C52">
        <v>480</v>
      </c>
      <c r="D52" s="2">
        <v>45712.461805555555</v>
      </c>
      <c r="E52" s="3" t="s">
        <v>17</v>
      </c>
      <c r="F52" s="3" t="s">
        <v>126</v>
      </c>
    </row>
    <row r="53" spans="1:6" x14ac:dyDescent="0.3">
      <c r="A53" s="3" t="s">
        <v>172</v>
      </c>
      <c r="B53" s="3" t="s">
        <v>68</v>
      </c>
      <c r="C53">
        <v>9999</v>
      </c>
      <c r="D53" s="2">
        <v>45713.597222222219</v>
      </c>
      <c r="E53" s="3" t="s">
        <v>14</v>
      </c>
      <c r="F53" s="3" t="s">
        <v>124</v>
      </c>
    </row>
    <row r="54" spans="1:6" x14ac:dyDescent="0.3">
      <c r="A54" s="3" t="s">
        <v>173</v>
      </c>
      <c r="B54" s="3" t="s">
        <v>69</v>
      </c>
      <c r="C54">
        <v>69</v>
      </c>
      <c r="D54" s="2">
        <v>45714.739583333336</v>
      </c>
      <c r="E54" s="3" t="s">
        <v>10</v>
      </c>
      <c r="F54" s="3" t="s">
        <v>120</v>
      </c>
    </row>
    <row r="55" spans="1:6" x14ac:dyDescent="0.3">
      <c r="A55" s="3" t="s">
        <v>174</v>
      </c>
      <c r="B55" s="3" t="s">
        <v>70</v>
      </c>
      <c r="C55">
        <v>5999</v>
      </c>
      <c r="D55" s="2">
        <v>45715.395833333336</v>
      </c>
      <c r="E55" s="3" t="s">
        <v>8</v>
      </c>
      <c r="F55" s="3" t="s">
        <v>118</v>
      </c>
    </row>
    <row r="56" spans="1:6" x14ac:dyDescent="0.3">
      <c r="A56" s="3" t="s">
        <v>175</v>
      </c>
      <c r="B56" s="3" t="s">
        <v>71</v>
      </c>
      <c r="C56">
        <v>4999</v>
      </c>
      <c r="D56" s="2">
        <v>45716.868055555555</v>
      </c>
      <c r="E56" s="3" t="s">
        <v>21</v>
      </c>
      <c r="F56" s="3" t="s">
        <v>117</v>
      </c>
    </row>
    <row r="57" spans="1:6" x14ac:dyDescent="0.3">
      <c r="A57" s="3" t="s">
        <v>176</v>
      </c>
      <c r="B57" s="3" t="s">
        <v>72</v>
      </c>
      <c r="C57">
        <v>680</v>
      </c>
      <c r="D57" s="2">
        <v>45717.447916666664</v>
      </c>
      <c r="E57" s="3" t="s">
        <v>12</v>
      </c>
      <c r="F57" s="3" t="s">
        <v>126</v>
      </c>
    </row>
    <row r="58" spans="1:6" x14ac:dyDescent="0.3">
      <c r="A58" s="3" t="s">
        <v>177</v>
      </c>
      <c r="B58" s="3" t="s">
        <v>73</v>
      </c>
      <c r="C58">
        <v>19999</v>
      </c>
      <c r="D58" s="2">
        <v>45718.673611111109</v>
      </c>
      <c r="E58" s="3" t="s">
        <v>28</v>
      </c>
      <c r="F58" s="3" t="s">
        <v>124</v>
      </c>
    </row>
    <row r="59" spans="1:6" x14ac:dyDescent="0.3">
      <c r="A59" s="3" t="s">
        <v>178</v>
      </c>
      <c r="B59" s="3" t="s">
        <v>74</v>
      </c>
      <c r="C59">
        <v>199</v>
      </c>
      <c r="D59" s="2">
        <v>45719.815972222219</v>
      </c>
      <c r="E59" s="3" t="s">
        <v>19</v>
      </c>
      <c r="F59" s="3" t="s">
        <v>120</v>
      </c>
    </row>
    <row r="60" spans="1:6" x14ac:dyDescent="0.3">
      <c r="A60" s="3" t="s">
        <v>179</v>
      </c>
      <c r="B60" s="3" t="s">
        <v>75</v>
      </c>
      <c r="C60">
        <v>2999</v>
      </c>
      <c r="D60" s="2">
        <v>45720.347222222219</v>
      </c>
      <c r="E60" s="3" t="s">
        <v>8</v>
      </c>
      <c r="F60" s="3" t="s">
        <v>118</v>
      </c>
    </row>
    <row r="61" spans="1:6" x14ac:dyDescent="0.3">
      <c r="A61" s="3" t="s">
        <v>180</v>
      </c>
      <c r="B61" s="3" t="s">
        <v>76</v>
      </c>
      <c r="C61">
        <v>3699</v>
      </c>
      <c r="D61" s="2">
        <v>45721.625</v>
      </c>
      <c r="E61" s="3" t="s">
        <v>31</v>
      </c>
      <c r="F61" s="3" t="s">
        <v>117</v>
      </c>
    </row>
    <row r="62" spans="1:6" x14ac:dyDescent="0.3">
      <c r="A62" s="3" t="s">
        <v>181</v>
      </c>
      <c r="B62" s="3" t="s">
        <v>77</v>
      </c>
      <c r="C62">
        <v>580</v>
      </c>
      <c r="D62" s="2">
        <v>45722.475694444445</v>
      </c>
      <c r="E62" s="3" t="s">
        <v>17</v>
      </c>
      <c r="F62" s="3" t="s">
        <v>126</v>
      </c>
    </row>
    <row r="63" spans="1:6" x14ac:dyDescent="0.3">
      <c r="A63" s="3" t="s">
        <v>182</v>
      </c>
      <c r="B63" s="3" t="s">
        <v>78</v>
      </c>
      <c r="C63">
        <v>11999</v>
      </c>
      <c r="D63" s="2">
        <v>45723.618055555555</v>
      </c>
      <c r="E63" s="3" t="s">
        <v>14</v>
      </c>
      <c r="F63" s="3" t="s">
        <v>124</v>
      </c>
    </row>
    <row r="64" spans="1:6" x14ac:dyDescent="0.3">
      <c r="A64" s="3" t="s">
        <v>183</v>
      </c>
      <c r="B64" s="3" t="s">
        <v>79</v>
      </c>
      <c r="C64">
        <v>249</v>
      </c>
      <c r="D64" s="2">
        <v>45724.753472222219</v>
      </c>
      <c r="E64" s="3" t="s">
        <v>10</v>
      </c>
      <c r="F64" s="3" t="s">
        <v>120</v>
      </c>
    </row>
    <row r="65" spans="1:6" x14ac:dyDescent="0.3">
      <c r="A65" s="3" t="s">
        <v>184</v>
      </c>
      <c r="B65" s="3" t="s">
        <v>80</v>
      </c>
      <c r="C65">
        <v>4999</v>
      </c>
      <c r="D65" s="2">
        <v>45725.413194444445</v>
      </c>
      <c r="E65" s="3" t="s">
        <v>8</v>
      </c>
      <c r="F65" s="3" t="s">
        <v>118</v>
      </c>
    </row>
    <row r="66" spans="1:6" x14ac:dyDescent="0.3">
      <c r="A66" s="3" t="s">
        <v>185</v>
      </c>
      <c r="B66" s="3" t="s">
        <v>81</v>
      </c>
      <c r="C66">
        <v>5999</v>
      </c>
      <c r="D66" s="2">
        <v>45726.888888888891</v>
      </c>
      <c r="E66" s="3" t="s">
        <v>24</v>
      </c>
      <c r="F66" s="3" t="s">
        <v>117</v>
      </c>
    </row>
    <row r="67" spans="1:6" x14ac:dyDescent="0.3">
      <c r="A67" s="3" t="s">
        <v>186</v>
      </c>
      <c r="B67" s="3" t="s">
        <v>82</v>
      </c>
      <c r="C67">
        <v>295</v>
      </c>
      <c r="D67" s="2">
        <v>45727.427083333336</v>
      </c>
      <c r="E67" s="3" t="s">
        <v>12</v>
      </c>
      <c r="F67" s="3" t="s">
        <v>126</v>
      </c>
    </row>
    <row r="68" spans="1:6" x14ac:dyDescent="0.3">
      <c r="A68" s="3" t="s">
        <v>187</v>
      </c>
      <c r="B68" s="3" t="s">
        <v>83</v>
      </c>
      <c r="C68">
        <v>12999</v>
      </c>
      <c r="D68" s="2">
        <v>45728.694444444445</v>
      </c>
      <c r="E68" s="3" t="s">
        <v>28</v>
      </c>
      <c r="F68" s="3" t="s">
        <v>124</v>
      </c>
    </row>
    <row r="69" spans="1:6" x14ac:dyDescent="0.3">
      <c r="A69" s="3" t="s">
        <v>188</v>
      </c>
      <c r="B69" s="3" t="s">
        <v>84</v>
      </c>
      <c r="C69">
        <v>99</v>
      </c>
      <c r="D69" s="2">
        <v>45729.791666666664</v>
      </c>
      <c r="E69" s="3" t="s">
        <v>19</v>
      </c>
      <c r="F69" s="3" t="s">
        <v>120</v>
      </c>
    </row>
    <row r="70" spans="1:6" x14ac:dyDescent="0.3">
      <c r="A70" s="3" t="s">
        <v>189</v>
      </c>
      <c r="B70" s="3" t="s">
        <v>85</v>
      </c>
      <c r="C70">
        <v>4999</v>
      </c>
      <c r="D70" s="2">
        <v>45730.364583333336</v>
      </c>
      <c r="E70" s="3" t="s">
        <v>8</v>
      </c>
      <c r="F70" s="3" t="s">
        <v>118</v>
      </c>
    </row>
    <row r="71" spans="1:6" x14ac:dyDescent="0.3">
      <c r="A71" s="3" t="s">
        <v>190</v>
      </c>
      <c r="B71" s="3" t="s">
        <v>86</v>
      </c>
      <c r="C71">
        <v>3999</v>
      </c>
      <c r="D71" s="2">
        <v>45731.645833333336</v>
      </c>
      <c r="E71" s="3" t="s">
        <v>31</v>
      </c>
      <c r="F71" s="3" t="s">
        <v>117</v>
      </c>
    </row>
    <row r="72" spans="1:6" x14ac:dyDescent="0.3">
      <c r="A72" s="3" t="s">
        <v>191</v>
      </c>
      <c r="B72" s="3" t="s">
        <v>87</v>
      </c>
      <c r="C72">
        <v>580</v>
      </c>
      <c r="D72" s="2">
        <v>45732.496527777781</v>
      </c>
      <c r="E72" s="3" t="s">
        <v>17</v>
      </c>
      <c r="F72" s="3" t="s">
        <v>126</v>
      </c>
    </row>
    <row r="73" spans="1:6" x14ac:dyDescent="0.3">
      <c r="A73" s="3" t="s">
        <v>192</v>
      </c>
      <c r="B73" s="3" t="s">
        <v>88</v>
      </c>
      <c r="C73">
        <v>14999</v>
      </c>
      <c r="D73" s="2">
        <v>45733.590277777781</v>
      </c>
      <c r="E73" s="3" t="s">
        <v>12</v>
      </c>
      <c r="F73" s="3" t="s">
        <v>124</v>
      </c>
    </row>
    <row r="74" spans="1:6" x14ac:dyDescent="0.3">
      <c r="A74" s="3" t="s">
        <v>193</v>
      </c>
      <c r="B74" s="3" t="s">
        <v>89</v>
      </c>
      <c r="C74">
        <v>299</v>
      </c>
      <c r="D74" s="2">
        <v>45734.725694444445</v>
      </c>
      <c r="E74" s="3" t="s">
        <v>10</v>
      </c>
      <c r="F74" s="3" t="s">
        <v>120</v>
      </c>
    </row>
    <row r="75" spans="1:6" x14ac:dyDescent="0.3">
      <c r="A75" s="3" t="s">
        <v>194</v>
      </c>
      <c r="B75" s="3" t="s">
        <v>90</v>
      </c>
      <c r="C75">
        <v>3299</v>
      </c>
      <c r="D75" s="2">
        <v>45735.388888888891</v>
      </c>
      <c r="E75" s="3" t="s">
        <v>8</v>
      </c>
      <c r="F75" s="3" t="s">
        <v>118</v>
      </c>
    </row>
    <row r="76" spans="1:6" x14ac:dyDescent="0.3">
      <c r="A76" s="3" t="s">
        <v>195</v>
      </c>
      <c r="B76" s="3" t="s">
        <v>91</v>
      </c>
      <c r="C76">
        <v>3999</v>
      </c>
      <c r="D76" s="2">
        <v>45736.864583333336</v>
      </c>
      <c r="E76" s="3" t="s">
        <v>21</v>
      </c>
      <c r="F76" s="3" t="s">
        <v>117</v>
      </c>
    </row>
    <row r="77" spans="1:6" x14ac:dyDescent="0.3">
      <c r="A77" s="3" t="s">
        <v>196</v>
      </c>
      <c r="B77" s="3" t="s">
        <v>92</v>
      </c>
      <c r="C77">
        <v>290</v>
      </c>
      <c r="D77" s="2">
        <v>45737.440972222219</v>
      </c>
      <c r="E77" s="3" t="s">
        <v>17</v>
      </c>
      <c r="F77" s="3" t="s">
        <v>126</v>
      </c>
    </row>
    <row r="78" spans="1:6" x14ac:dyDescent="0.3">
      <c r="A78" s="3" t="s">
        <v>197</v>
      </c>
      <c r="B78" s="3" t="s">
        <v>93</v>
      </c>
      <c r="C78">
        <v>29999</v>
      </c>
      <c r="D78" s="2">
        <v>45738.666666666664</v>
      </c>
      <c r="E78" s="3" t="s">
        <v>28</v>
      </c>
      <c r="F78" s="3" t="s">
        <v>124</v>
      </c>
    </row>
    <row r="79" spans="1:6" x14ac:dyDescent="0.3">
      <c r="A79" s="3" t="s">
        <v>198</v>
      </c>
      <c r="B79" s="3" t="s">
        <v>94</v>
      </c>
      <c r="C79">
        <v>399</v>
      </c>
      <c r="D79" s="2">
        <v>45739.826388888891</v>
      </c>
      <c r="E79" s="3" t="s">
        <v>19</v>
      </c>
      <c r="F79" s="3" t="s">
        <v>120</v>
      </c>
    </row>
    <row r="80" spans="1:6" x14ac:dyDescent="0.3">
      <c r="A80" s="3" t="s">
        <v>199</v>
      </c>
      <c r="B80" s="3" t="s">
        <v>95</v>
      </c>
      <c r="C80">
        <v>4299</v>
      </c>
      <c r="D80" s="2">
        <v>45740.357638888891</v>
      </c>
      <c r="E80" s="3" t="s">
        <v>8</v>
      </c>
      <c r="F80" s="3" t="s">
        <v>118</v>
      </c>
    </row>
    <row r="81" spans="1:6" x14ac:dyDescent="0.3">
      <c r="A81" s="3" t="s">
        <v>200</v>
      </c>
      <c r="B81" s="3" t="s">
        <v>96</v>
      </c>
      <c r="C81">
        <v>1299</v>
      </c>
      <c r="D81" s="2">
        <v>45741.635416666664</v>
      </c>
      <c r="E81" s="3" t="s">
        <v>31</v>
      </c>
      <c r="F81" s="3" t="s">
        <v>117</v>
      </c>
    </row>
    <row r="82" spans="1:6" x14ac:dyDescent="0.3">
      <c r="A82" s="3" t="s">
        <v>201</v>
      </c>
      <c r="B82" s="3" t="s">
        <v>97</v>
      </c>
      <c r="C82">
        <v>1290</v>
      </c>
      <c r="D82" s="2">
        <v>45742.486111111109</v>
      </c>
      <c r="E82" s="3" t="s">
        <v>12</v>
      </c>
      <c r="F82" s="3" t="s">
        <v>126</v>
      </c>
    </row>
    <row r="83" spans="1:6" x14ac:dyDescent="0.3">
      <c r="A83" s="3" t="s">
        <v>202</v>
      </c>
      <c r="B83" s="3" t="s">
        <v>98</v>
      </c>
      <c r="C83">
        <v>8999</v>
      </c>
      <c r="D83" s="2">
        <v>45743.621527777781</v>
      </c>
      <c r="E83" s="3" t="s">
        <v>14</v>
      </c>
      <c r="F83" s="3" t="s">
        <v>124</v>
      </c>
    </row>
    <row r="84" spans="1:6" x14ac:dyDescent="0.3">
      <c r="A84" s="3" t="s">
        <v>203</v>
      </c>
      <c r="B84" s="3" t="s">
        <v>99</v>
      </c>
      <c r="C84">
        <v>399</v>
      </c>
      <c r="D84" s="2">
        <v>45744.756944444445</v>
      </c>
      <c r="E84" s="3" t="s">
        <v>10</v>
      </c>
      <c r="F84" s="3" t="s">
        <v>120</v>
      </c>
    </row>
    <row r="85" spans="1:6" x14ac:dyDescent="0.3">
      <c r="A85" s="3" t="s">
        <v>204</v>
      </c>
      <c r="B85" s="3" t="s">
        <v>100</v>
      </c>
      <c r="C85">
        <v>5999</v>
      </c>
      <c r="D85" s="2">
        <v>45745.40625</v>
      </c>
      <c r="E85" s="3" t="s">
        <v>8</v>
      </c>
      <c r="F85" s="3" t="s">
        <v>118</v>
      </c>
    </row>
    <row r="86" spans="1:6" x14ac:dyDescent="0.3">
      <c r="A86" s="3" t="s">
        <v>205</v>
      </c>
      <c r="B86" s="3" t="s">
        <v>101</v>
      </c>
      <c r="C86">
        <v>2699</v>
      </c>
      <c r="D86" s="2">
        <v>45746.895833333336</v>
      </c>
      <c r="E86" s="3" t="s">
        <v>24</v>
      </c>
      <c r="F86" s="3" t="s">
        <v>117</v>
      </c>
    </row>
    <row r="87" spans="1:6" x14ac:dyDescent="0.3">
      <c r="A87" s="3" t="s">
        <v>206</v>
      </c>
      <c r="B87" s="3" t="s">
        <v>102</v>
      </c>
      <c r="C87">
        <v>320</v>
      </c>
      <c r="D87" s="2">
        <v>45747.416666666664</v>
      </c>
      <c r="E87" s="3" t="s">
        <v>17</v>
      </c>
      <c r="F87" s="3" t="s">
        <v>126</v>
      </c>
    </row>
    <row r="88" spans="1:6" x14ac:dyDescent="0.3">
      <c r="A88" s="3" t="s">
        <v>207</v>
      </c>
      <c r="B88" s="3" t="s">
        <v>103</v>
      </c>
      <c r="C88">
        <v>19999</v>
      </c>
      <c r="D88" s="2">
        <v>45748.684027777781</v>
      </c>
      <c r="E88" s="3" t="s">
        <v>28</v>
      </c>
      <c r="F88" s="3" t="s">
        <v>124</v>
      </c>
    </row>
    <row r="89" spans="1:6" x14ac:dyDescent="0.3">
      <c r="A89" s="3" t="s">
        <v>208</v>
      </c>
      <c r="B89" s="3" t="s">
        <v>104</v>
      </c>
      <c r="C89">
        <v>99</v>
      </c>
      <c r="D89" s="2">
        <v>45749.798611111109</v>
      </c>
      <c r="E89" s="3" t="s">
        <v>19</v>
      </c>
      <c r="F89" s="3" t="s">
        <v>120</v>
      </c>
    </row>
    <row r="90" spans="1:6" x14ac:dyDescent="0.3">
      <c r="A90" s="3" t="s">
        <v>209</v>
      </c>
      <c r="B90" s="3" t="s">
        <v>105</v>
      </c>
      <c r="C90">
        <v>1999</v>
      </c>
      <c r="D90" s="2">
        <v>45750.350694444445</v>
      </c>
      <c r="E90" s="3" t="s">
        <v>8</v>
      </c>
      <c r="F90" s="3" t="s">
        <v>118</v>
      </c>
    </row>
    <row r="91" spans="1:6" x14ac:dyDescent="0.3">
      <c r="A91" s="3" t="s">
        <v>210</v>
      </c>
      <c r="B91" s="3" t="s">
        <v>106</v>
      </c>
      <c r="C91">
        <v>599</v>
      </c>
      <c r="D91" s="2">
        <v>45751.65625</v>
      </c>
      <c r="E91" s="3" t="s">
        <v>31</v>
      </c>
      <c r="F91" s="3" t="s">
        <v>117</v>
      </c>
    </row>
    <row r="92" spans="1:6" x14ac:dyDescent="0.3">
      <c r="A92" s="3" t="s">
        <v>211</v>
      </c>
      <c r="B92" s="3" t="s">
        <v>107</v>
      </c>
      <c r="C92">
        <v>680</v>
      </c>
      <c r="D92" s="2">
        <v>45752.465277777781</v>
      </c>
      <c r="E92" s="3" t="s">
        <v>12</v>
      </c>
      <c r="F92" s="3" t="s">
        <v>126</v>
      </c>
    </row>
    <row r="93" spans="1:6" x14ac:dyDescent="0.3">
      <c r="A93" s="3" t="s">
        <v>212</v>
      </c>
      <c r="B93" s="3" t="s">
        <v>108</v>
      </c>
      <c r="C93">
        <v>9999</v>
      </c>
      <c r="D93" s="2">
        <v>45753.604166666664</v>
      </c>
      <c r="E93" s="3" t="s">
        <v>14</v>
      </c>
      <c r="F93" s="3" t="s">
        <v>124</v>
      </c>
    </row>
    <row r="94" spans="1:6" x14ac:dyDescent="0.3">
      <c r="A94" s="3" t="s">
        <v>213</v>
      </c>
      <c r="B94" s="3" t="s">
        <v>109</v>
      </c>
      <c r="C94">
        <v>499</v>
      </c>
      <c r="D94" s="2">
        <v>45754.746527777781</v>
      </c>
      <c r="E94" s="3" t="s">
        <v>10</v>
      </c>
      <c r="F94" s="3" t="s">
        <v>120</v>
      </c>
    </row>
    <row r="95" spans="1:6" x14ac:dyDescent="0.3">
      <c r="A95" s="3" t="s">
        <v>214</v>
      </c>
      <c r="B95" s="3" t="s">
        <v>110</v>
      </c>
      <c r="C95">
        <v>6999</v>
      </c>
      <c r="D95" s="2">
        <v>45755.399305555555</v>
      </c>
      <c r="E95" s="3" t="s">
        <v>8</v>
      </c>
      <c r="F95" s="3" t="s">
        <v>118</v>
      </c>
    </row>
    <row r="96" spans="1:6" x14ac:dyDescent="0.3">
      <c r="A96" s="3" t="s">
        <v>215</v>
      </c>
      <c r="B96" s="3" t="s">
        <v>111</v>
      </c>
      <c r="C96">
        <v>4299</v>
      </c>
      <c r="D96" s="2">
        <v>45756.836805555555</v>
      </c>
      <c r="E96" s="3" t="s">
        <v>21</v>
      </c>
      <c r="F96" s="3" t="s">
        <v>117</v>
      </c>
    </row>
    <row r="97" spans="1:6" x14ac:dyDescent="0.3">
      <c r="A97" s="3" t="s">
        <v>216</v>
      </c>
      <c r="B97" s="3" t="s">
        <v>112</v>
      </c>
      <c r="C97">
        <v>320</v>
      </c>
      <c r="D97" s="2">
        <v>45757.451388888891</v>
      </c>
      <c r="E97" s="3" t="s">
        <v>17</v>
      </c>
      <c r="F97" s="3" t="s">
        <v>126</v>
      </c>
    </row>
    <row r="98" spans="1:6" x14ac:dyDescent="0.3">
      <c r="A98" s="3" t="s">
        <v>217</v>
      </c>
      <c r="B98" s="3" t="s">
        <v>113</v>
      </c>
      <c r="C98">
        <v>9999</v>
      </c>
      <c r="D98" s="2">
        <v>45758.677083333336</v>
      </c>
      <c r="E98" s="3" t="s">
        <v>28</v>
      </c>
      <c r="F98" s="3" t="s">
        <v>124</v>
      </c>
    </row>
    <row r="99" spans="1:6" x14ac:dyDescent="0.3">
      <c r="A99" s="3" t="s">
        <v>218</v>
      </c>
      <c r="B99" s="3" t="s">
        <v>114</v>
      </c>
      <c r="C99">
        <v>129</v>
      </c>
      <c r="D99" s="2">
        <v>45759.819444444445</v>
      </c>
      <c r="E99" s="3" t="s">
        <v>19</v>
      </c>
      <c r="F99" s="3" t="s">
        <v>120</v>
      </c>
    </row>
    <row r="100" spans="1:6" x14ac:dyDescent="0.3">
      <c r="A100" s="3" t="s">
        <v>219</v>
      </c>
      <c r="B100" s="3" t="s">
        <v>115</v>
      </c>
      <c r="C100">
        <v>3999</v>
      </c>
      <c r="D100" s="2">
        <v>45760.368055555555</v>
      </c>
      <c r="E100" s="3" t="s">
        <v>8</v>
      </c>
      <c r="F100" s="3" t="s">
        <v>118</v>
      </c>
    </row>
    <row r="101" spans="1:6" x14ac:dyDescent="0.3">
      <c r="A101" s="3" t="s">
        <v>220</v>
      </c>
      <c r="B101" s="3" t="s">
        <v>116</v>
      </c>
      <c r="C101">
        <v>299</v>
      </c>
      <c r="D101" s="2">
        <v>45761.638888888891</v>
      </c>
      <c r="E101" s="3" t="s">
        <v>31</v>
      </c>
      <c r="F101" s="3" t="s">
        <v>117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8334-433F-4C33-AC5A-86839601A098}">
  <dimension ref="A1:H101"/>
  <sheetViews>
    <sheetView tabSelected="1" workbookViewId="0">
      <selection activeCell="J9" sqref="J9"/>
    </sheetView>
  </sheetViews>
  <sheetFormatPr defaultRowHeight="14" x14ac:dyDescent="0.3"/>
  <cols>
    <col min="2" max="4" width="22.75" customWidth="1"/>
    <col min="6" max="6" width="16.75" style="6" customWidth="1"/>
  </cols>
  <sheetData>
    <row r="1" spans="1:8" ht="28.5" thickBot="1" x14ac:dyDescent="0.35">
      <c r="A1" s="4" t="s">
        <v>0</v>
      </c>
      <c r="B1" s="4" t="s">
        <v>1</v>
      </c>
      <c r="C1" t="s">
        <v>234</v>
      </c>
      <c r="D1" t="s">
        <v>235</v>
      </c>
      <c r="E1" s="4" t="s">
        <v>2</v>
      </c>
      <c r="F1" s="5" t="s">
        <v>3</v>
      </c>
      <c r="G1" s="4" t="s">
        <v>223</v>
      </c>
      <c r="H1" s="4" t="s">
        <v>5</v>
      </c>
    </row>
    <row r="2" spans="1:8" x14ac:dyDescent="0.3">
      <c r="A2" t="s">
        <v>6</v>
      </c>
      <c r="B2" t="s">
        <v>7</v>
      </c>
      <c r="C2" t="str">
        <f>IFERROR(LEFT(B2, FIND("@K2", SUBSTITUTE(B2, " ", "@", LEN(B2)-LEN(SUBSTITUTE(B2, " ", ""))))), B2)</f>
        <v>iPhone 15 Pro 256G</v>
      </c>
      <c r="D2" t="str">
        <f>IFERROR(RIGHT(B2, LEN(B2)-FIND("@", SUBSTITUTE(B2, " ", "@", LEN(B2)-LEN(SUBSTITUTE(B2, " ", ""))))), "")</f>
        <v>256G</v>
      </c>
      <c r="E2" s="1">
        <v>7999</v>
      </c>
      <c r="F2" s="6">
        <v>45662.604166666664</v>
      </c>
      <c r="G2" t="s">
        <v>224</v>
      </c>
      <c r="H2" t="s">
        <v>222</v>
      </c>
    </row>
    <row r="3" spans="1:8" x14ac:dyDescent="0.3">
      <c r="A3" t="s">
        <v>119</v>
      </c>
      <c r="B3" t="s">
        <v>9</v>
      </c>
      <c r="C3" t="str">
        <f t="shared" ref="C3:C66" si="0">IFERROR(LEFT(B3, FIND("@K2", SUBSTITUTE(B3, " ", "@", LEN(B3)-LEN(SUBSTITUTE(B3, " ", ""))))), B3)</f>
        <v>纯棉T恤 白色M码</v>
      </c>
      <c r="D3" t="str">
        <f t="shared" ref="D3:D66" si="1">IFERROR(RIGHT(B3, LEN(B3)-FIND("@", SUBSTITUTE(B3, " ", "@", LEN(B3)-LEN(SUBSTITUTE(B3, " ", ""))))), "")</f>
        <v>白色M码</v>
      </c>
      <c r="E3" s="1">
        <v>99</v>
      </c>
      <c r="F3" s="6">
        <v>45663.385416666664</v>
      </c>
      <c r="G3" t="s">
        <v>225</v>
      </c>
      <c r="H3" t="s">
        <v>120</v>
      </c>
    </row>
    <row r="4" spans="1:8" x14ac:dyDescent="0.3">
      <c r="A4" t="s">
        <v>121</v>
      </c>
      <c r="B4" t="s">
        <v>11</v>
      </c>
      <c r="C4" t="str">
        <f t="shared" si="0"/>
        <v>小米空气净化器4</v>
      </c>
      <c r="D4" t="str">
        <f t="shared" si="1"/>
        <v/>
      </c>
      <c r="E4" s="1">
        <v>899</v>
      </c>
      <c r="F4" s="6">
        <v>45664.864583333336</v>
      </c>
      <c r="G4" t="s">
        <v>226</v>
      </c>
      <c r="H4" t="s">
        <v>117</v>
      </c>
    </row>
    <row r="5" spans="1:8" x14ac:dyDescent="0.3">
      <c r="A5" t="s">
        <v>122</v>
      </c>
      <c r="B5" t="s">
        <v>13</v>
      </c>
      <c r="C5" t="str">
        <f t="shared" si="0"/>
        <v>耐克Air Jordan 1 42码</v>
      </c>
      <c r="D5" t="str">
        <f t="shared" si="1"/>
        <v>42码</v>
      </c>
      <c r="E5" s="1">
        <v>899</v>
      </c>
      <c r="F5" s="6">
        <v>45665.472222222219</v>
      </c>
      <c r="G5" t="s">
        <v>227</v>
      </c>
      <c r="H5" t="s">
        <v>120</v>
      </c>
    </row>
    <row r="6" spans="1:8" x14ac:dyDescent="0.3">
      <c r="A6" t="s">
        <v>123</v>
      </c>
      <c r="B6" t="s">
        <v>15</v>
      </c>
      <c r="C6" t="str">
        <f t="shared" si="0"/>
        <v>华为MateBook 14</v>
      </c>
      <c r="D6" t="str">
        <f t="shared" si="1"/>
        <v>14</v>
      </c>
      <c r="E6" s="1">
        <v>5699</v>
      </c>
      <c r="F6" s="6">
        <v>45666.701388888891</v>
      </c>
      <c r="G6" t="s">
        <v>224</v>
      </c>
      <c r="H6" t="s">
        <v>124</v>
      </c>
    </row>
    <row r="7" spans="1:8" x14ac:dyDescent="0.3">
      <c r="A7" t="s">
        <v>125</v>
      </c>
      <c r="B7" t="s">
        <v>16</v>
      </c>
      <c r="C7" t="str">
        <f t="shared" si="0"/>
        <v>SK-II神仙水 230ml</v>
      </c>
      <c r="D7" t="str">
        <f t="shared" si="1"/>
        <v>230ml</v>
      </c>
      <c r="E7" s="1">
        <v>1590</v>
      </c>
      <c r="F7" s="6">
        <v>45667.4375</v>
      </c>
      <c r="G7" t="s">
        <v>228</v>
      </c>
      <c r="H7" t="s">
        <v>126</v>
      </c>
    </row>
    <row r="8" spans="1:8" x14ac:dyDescent="0.3">
      <c r="A8" t="s">
        <v>127</v>
      </c>
      <c r="B8" t="s">
        <v>18</v>
      </c>
      <c r="C8" t="str">
        <f t="shared" si="0"/>
        <v>九阳破壁机</v>
      </c>
      <c r="D8" t="str">
        <f t="shared" si="1"/>
        <v/>
      </c>
      <c r="E8" s="1">
        <v>399</v>
      </c>
      <c r="F8" s="6">
        <v>45668.809027777781</v>
      </c>
      <c r="G8" t="s">
        <v>229</v>
      </c>
      <c r="H8" t="s">
        <v>117</v>
      </c>
    </row>
    <row r="9" spans="1:8" x14ac:dyDescent="0.3">
      <c r="A9" t="s">
        <v>128</v>
      </c>
      <c r="B9" t="s">
        <v>20</v>
      </c>
      <c r="C9" t="str">
        <f t="shared" si="0"/>
        <v>阿迪达斯运动裤 L码</v>
      </c>
      <c r="D9" t="str">
        <f t="shared" si="1"/>
        <v>L码</v>
      </c>
      <c r="E9" s="1">
        <v>299</v>
      </c>
      <c r="F9" s="6">
        <v>45669.652777777781</v>
      </c>
      <c r="G9" t="s">
        <v>230</v>
      </c>
      <c r="H9" t="s">
        <v>120</v>
      </c>
    </row>
    <row r="10" spans="1:8" x14ac:dyDescent="0.3">
      <c r="A10" t="s">
        <v>129</v>
      </c>
      <c r="B10" t="s">
        <v>22</v>
      </c>
      <c r="C10" t="str">
        <f t="shared" si="0"/>
        <v>Apple Watch S9</v>
      </c>
      <c r="D10" t="str">
        <f t="shared" si="1"/>
        <v>S9</v>
      </c>
      <c r="E10" s="1">
        <v>2999</v>
      </c>
      <c r="F10" s="6">
        <v>45670.371527777781</v>
      </c>
      <c r="G10" t="s">
        <v>224</v>
      </c>
      <c r="H10" t="s">
        <v>118</v>
      </c>
    </row>
    <row r="11" spans="1:8" x14ac:dyDescent="0.3">
      <c r="A11" t="s">
        <v>130</v>
      </c>
      <c r="B11" t="s">
        <v>23</v>
      </c>
      <c r="C11" t="str">
        <f t="shared" si="0"/>
        <v>美的空调1.5匹</v>
      </c>
      <c r="D11" t="str">
        <f t="shared" si="1"/>
        <v/>
      </c>
      <c r="E11" s="1">
        <v>2699</v>
      </c>
      <c r="F11" s="6">
        <v>45671.881944444445</v>
      </c>
      <c r="G11" t="s">
        <v>231</v>
      </c>
      <c r="H11" t="s">
        <v>117</v>
      </c>
    </row>
    <row r="12" spans="1:8" x14ac:dyDescent="0.3">
      <c r="A12" t="s">
        <v>131</v>
      </c>
      <c r="B12" t="s">
        <v>25</v>
      </c>
      <c r="C12" t="str">
        <f t="shared" si="0"/>
        <v>兰蔻小黑瓶 50ml</v>
      </c>
      <c r="D12" t="str">
        <f t="shared" si="1"/>
        <v>50ml</v>
      </c>
      <c r="E12" s="1">
        <v>1080</v>
      </c>
      <c r="F12" s="6">
        <v>45672.586805555555</v>
      </c>
      <c r="G12" t="s">
        <v>226</v>
      </c>
      <c r="H12" t="s">
        <v>126</v>
      </c>
    </row>
    <row r="13" spans="1:8" x14ac:dyDescent="0.3">
      <c r="A13" t="s">
        <v>132</v>
      </c>
      <c r="B13" t="s">
        <v>26</v>
      </c>
      <c r="C13" t="str">
        <f t="shared" si="0"/>
        <v>罗技G502鼠标</v>
      </c>
      <c r="D13" t="str">
        <f t="shared" si="1"/>
        <v/>
      </c>
      <c r="E13" s="1">
        <v>399</v>
      </c>
      <c r="F13" s="6">
        <v>45673.729166666664</v>
      </c>
      <c r="G13" t="s">
        <v>225</v>
      </c>
      <c r="H13" t="s">
        <v>124</v>
      </c>
    </row>
    <row r="14" spans="1:8" x14ac:dyDescent="0.3">
      <c r="A14" t="s">
        <v>133</v>
      </c>
      <c r="B14" t="s">
        <v>27</v>
      </c>
      <c r="C14" t="str">
        <f t="shared" si="0"/>
        <v>李宁运动鞋 43码</v>
      </c>
      <c r="D14" t="str">
        <f t="shared" si="1"/>
        <v>43码</v>
      </c>
      <c r="E14" s="1">
        <v>369</v>
      </c>
      <c r="F14" s="6">
        <v>45674.53125</v>
      </c>
      <c r="G14" t="s">
        <v>232</v>
      </c>
      <c r="H14" t="s">
        <v>120</v>
      </c>
    </row>
    <row r="15" spans="1:8" x14ac:dyDescent="0.3">
      <c r="A15" t="s">
        <v>134</v>
      </c>
      <c r="B15" t="s">
        <v>29</v>
      </c>
      <c r="C15" t="str">
        <f t="shared" si="0"/>
        <v>索尼WH-1000XM5耳机</v>
      </c>
      <c r="D15" t="str">
        <f t="shared" si="1"/>
        <v/>
      </c>
      <c r="E15" s="1">
        <v>2499</v>
      </c>
      <c r="F15" s="6">
        <v>45675.399305555555</v>
      </c>
      <c r="G15" t="s">
        <v>224</v>
      </c>
      <c r="H15" t="s">
        <v>118</v>
      </c>
    </row>
    <row r="16" spans="1:8" x14ac:dyDescent="0.3">
      <c r="A16" t="s">
        <v>135</v>
      </c>
      <c r="B16" t="s">
        <v>30</v>
      </c>
      <c r="C16" t="str">
        <f t="shared" si="0"/>
        <v>苏泊尔电饭煲</v>
      </c>
      <c r="D16" t="str">
        <f t="shared" si="1"/>
        <v/>
      </c>
      <c r="E16" s="1">
        <v>299</v>
      </c>
      <c r="F16" s="6">
        <v>45676.833333333336</v>
      </c>
      <c r="G16" t="s">
        <v>233</v>
      </c>
      <c r="H16" t="s">
        <v>117</v>
      </c>
    </row>
    <row r="17" spans="1:8" x14ac:dyDescent="0.3">
      <c r="A17" t="s">
        <v>136</v>
      </c>
      <c r="B17" t="s">
        <v>32</v>
      </c>
      <c r="C17" t="str">
        <f t="shared" si="0"/>
        <v>雅诗兰黛小棕瓶</v>
      </c>
      <c r="D17" t="str">
        <f t="shared" si="1"/>
        <v/>
      </c>
      <c r="E17" s="1">
        <v>980</v>
      </c>
      <c r="F17" s="6">
        <v>45677.493055555555</v>
      </c>
      <c r="G17" t="s">
        <v>228</v>
      </c>
      <c r="H17" t="s">
        <v>126</v>
      </c>
    </row>
    <row r="18" spans="1:8" x14ac:dyDescent="0.3">
      <c r="A18" t="s">
        <v>137</v>
      </c>
      <c r="B18" t="s">
        <v>33</v>
      </c>
      <c r="C18" t="str">
        <f t="shared" si="0"/>
        <v>戴尔XPS13</v>
      </c>
      <c r="D18" t="str">
        <f t="shared" si="1"/>
        <v/>
      </c>
      <c r="E18" s="1">
        <v>7999</v>
      </c>
      <c r="F18" s="6">
        <v>45678.680555555555</v>
      </c>
      <c r="G18" t="s">
        <v>227</v>
      </c>
      <c r="H18" t="s">
        <v>124</v>
      </c>
    </row>
    <row r="19" spans="1:8" x14ac:dyDescent="0.3">
      <c r="A19" t="s">
        <v>138</v>
      </c>
      <c r="B19" t="s">
        <v>34</v>
      </c>
      <c r="C19" t="str">
        <f t="shared" si="0"/>
        <v>优衣库牛仔裤 30码</v>
      </c>
      <c r="D19" t="str">
        <f t="shared" si="1"/>
        <v>30码</v>
      </c>
      <c r="E19" s="1">
        <v>199</v>
      </c>
      <c r="F19" s="6">
        <v>45679.423611111109</v>
      </c>
      <c r="G19" t="s">
        <v>229</v>
      </c>
      <c r="H19" t="s">
        <v>120</v>
      </c>
    </row>
    <row r="20" spans="1:8" x14ac:dyDescent="0.3">
      <c r="A20" t="s">
        <v>139</v>
      </c>
      <c r="B20" t="s">
        <v>35</v>
      </c>
      <c r="C20" t="str">
        <f t="shared" si="0"/>
        <v>三星S24 Ultra</v>
      </c>
      <c r="D20" t="str">
        <f t="shared" si="1"/>
        <v>Ultra</v>
      </c>
      <c r="E20" s="1">
        <v>8999</v>
      </c>
      <c r="F20" s="6">
        <v>45680.78125</v>
      </c>
      <c r="G20" t="s">
        <v>224</v>
      </c>
      <c r="H20" t="s">
        <v>118</v>
      </c>
    </row>
    <row r="21" spans="1:8" x14ac:dyDescent="0.3">
      <c r="A21" t="s">
        <v>140</v>
      </c>
      <c r="B21" t="s">
        <v>36</v>
      </c>
      <c r="C21" t="str">
        <f t="shared" si="0"/>
        <v>格力冰箱 256L</v>
      </c>
      <c r="D21" t="str">
        <f t="shared" si="1"/>
        <v>256L</v>
      </c>
      <c r="E21" s="1">
        <v>2199</v>
      </c>
      <c r="F21" s="6">
        <v>45681.625</v>
      </c>
      <c r="G21" t="s">
        <v>230</v>
      </c>
      <c r="H21" t="s">
        <v>117</v>
      </c>
    </row>
    <row r="22" spans="1:8" x14ac:dyDescent="0.3">
      <c r="A22" t="s">
        <v>141</v>
      </c>
      <c r="B22" t="s">
        <v>37</v>
      </c>
      <c r="C22" t="str">
        <f t="shared" si="0"/>
        <v>资生堂红腰子</v>
      </c>
      <c r="D22" t="str">
        <f t="shared" si="1"/>
        <v/>
      </c>
      <c r="E22" s="1">
        <v>860</v>
      </c>
      <c r="F22" s="6">
        <v>45682.388888888891</v>
      </c>
      <c r="G22" t="s">
        <v>226</v>
      </c>
      <c r="H22" t="s">
        <v>126</v>
      </c>
    </row>
    <row r="23" spans="1:8" x14ac:dyDescent="0.3">
      <c r="A23" t="s">
        <v>142</v>
      </c>
      <c r="B23" t="s">
        <v>38</v>
      </c>
      <c r="C23" t="str">
        <f t="shared" si="0"/>
        <v>惠普暗影精灵9</v>
      </c>
      <c r="D23" t="str">
        <f t="shared" si="1"/>
        <v/>
      </c>
      <c r="E23" s="1">
        <v>6999</v>
      </c>
      <c r="F23" s="6">
        <v>45683.607638888891</v>
      </c>
      <c r="G23" t="s">
        <v>225</v>
      </c>
      <c r="H23" t="s">
        <v>124</v>
      </c>
    </row>
    <row r="24" spans="1:8" x14ac:dyDescent="0.3">
      <c r="A24" t="s">
        <v>143</v>
      </c>
      <c r="B24" t="s">
        <v>39</v>
      </c>
      <c r="C24" t="str">
        <f t="shared" si="0"/>
        <v>彪马卫衣 M码</v>
      </c>
      <c r="D24" t="str">
        <f t="shared" si="1"/>
        <v>M码</v>
      </c>
      <c r="E24" s="1">
        <v>249</v>
      </c>
      <c r="F24" s="6">
        <v>45684.829861111109</v>
      </c>
      <c r="G24" t="s">
        <v>232</v>
      </c>
      <c r="H24" t="s">
        <v>120</v>
      </c>
    </row>
    <row r="25" spans="1:8" x14ac:dyDescent="0.3">
      <c r="A25" t="s">
        <v>144</v>
      </c>
      <c r="B25" t="s">
        <v>40</v>
      </c>
      <c r="C25" t="str">
        <f t="shared" si="0"/>
        <v>Bose QuietComfort耳机</v>
      </c>
      <c r="D25" t="str">
        <f t="shared" si="1"/>
        <v>QuietComfort耳机</v>
      </c>
      <c r="E25" s="1">
        <v>1999</v>
      </c>
      <c r="F25" s="6">
        <v>45685.46875</v>
      </c>
      <c r="G25" t="s">
        <v>224</v>
      </c>
      <c r="H25" t="s">
        <v>118</v>
      </c>
    </row>
    <row r="26" spans="1:8" x14ac:dyDescent="0.3">
      <c r="A26" t="s">
        <v>145</v>
      </c>
      <c r="B26" t="s">
        <v>41</v>
      </c>
      <c r="C26" t="str">
        <f t="shared" si="0"/>
        <v>老板油烟机</v>
      </c>
      <c r="D26" t="str">
        <f t="shared" si="1"/>
        <v/>
      </c>
      <c r="E26" s="1">
        <v>3299</v>
      </c>
      <c r="F26" s="6">
        <v>45686.854166666664</v>
      </c>
      <c r="G26" t="s">
        <v>231</v>
      </c>
      <c r="H26" t="s">
        <v>117</v>
      </c>
    </row>
    <row r="27" spans="1:8" x14ac:dyDescent="0.3">
      <c r="A27" t="s">
        <v>146</v>
      </c>
      <c r="B27" t="s">
        <v>42</v>
      </c>
      <c r="C27" t="str">
        <f t="shared" si="0"/>
        <v>纪梵希散粉</v>
      </c>
      <c r="D27" t="str">
        <f t="shared" si="1"/>
        <v/>
      </c>
      <c r="E27" s="1">
        <v>580</v>
      </c>
      <c r="F27" s="6">
        <v>45687.444444444445</v>
      </c>
      <c r="G27" t="s">
        <v>228</v>
      </c>
      <c r="H27" t="s">
        <v>126</v>
      </c>
    </row>
    <row r="28" spans="1:8" x14ac:dyDescent="0.3">
      <c r="A28" t="s">
        <v>147</v>
      </c>
      <c r="B28" t="s">
        <v>43</v>
      </c>
      <c r="C28" t="str">
        <f t="shared" si="0"/>
        <v>联想拯救者Y9000P</v>
      </c>
      <c r="D28" t="str">
        <f t="shared" si="1"/>
        <v/>
      </c>
      <c r="E28" s="1">
        <v>8999</v>
      </c>
      <c r="F28" s="6">
        <v>45688.670138888891</v>
      </c>
      <c r="G28" t="s">
        <v>227</v>
      </c>
      <c r="H28" t="s">
        <v>124</v>
      </c>
    </row>
    <row r="29" spans="1:8" x14ac:dyDescent="0.3">
      <c r="A29" t="s">
        <v>148</v>
      </c>
      <c r="B29" t="s">
        <v>44</v>
      </c>
      <c r="C29" t="str">
        <f t="shared" si="0"/>
        <v>安踏篮球鞋 44码</v>
      </c>
      <c r="D29" t="str">
        <f t="shared" si="1"/>
        <v>44码</v>
      </c>
      <c r="E29" s="1">
        <v>459</v>
      </c>
      <c r="F29" s="6">
        <v>45689.517361111109</v>
      </c>
      <c r="G29" t="s">
        <v>229</v>
      </c>
      <c r="H29" t="s">
        <v>120</v>
      </c>
    </row>
    <row r="30" spans="1:8" x14ac:dyDescent="0.3">
      <c r="A30" t="s">
        <v>149</v>
      </c>
      <c r="B30" t="s">
        <v>45</v>
      </c>
      <c r="C30" t="str">
        <f t="shared" si="0"/>
        <v>一加12</v>
      </c>
      <c r="D30" t="str">
        <f t="shared" si="1"/>
        <v/>
      </c>
      <c r="E30" s="1">
        <v>4299</v>
      </c>
      <c r="F30" s="6">
        <v>45690.354166666664</v>
      </c>
      <c r="G30" t="s">
        <v>224</v>
      </c>
      <c r="H30" t="s">
        <v>118</v>
      </c>
    </row>
    <row r="31" spans="1:8" x14ac:dyDescent="0.3">
      <c r="A31" t="s">
        <v>150</v>
      </c>
      <c r="B31" t="s">
        <v>46</v>
      </c>
      <c r="C31" t="str">
        <f t="shared" si="0"/>
        <v>西门子洗衣机</v>
      </c>
      <c r="D31" t="str">
        <f t="shared" si="1"/>
        <v/>
      </c>
      <c r="E31" s="1">
        <v>3499</v>
      </c>
      <c r="F31" s="6">
        <v>45691.90625</v>
      </c>
      <c r="G31" t="s">
        <v>233</v>
      </c>
      <c r="H31" t="s">
        <v>117</v>
      </c>
    </row>
    <row r="32" spans="1:8" x14ac:dyDescent="0.3">
      <c r="A32" t="s">
        <v>151</v>
      </c>
      <c r="B32" t="s">
        <v>47</v>
      </c>
      <c r="C32" t="str">
        <f t="shared" si="0"/>
        <v>海蓝之谜精粹水</v>
      </c>
      <c r="D32" t="str">
        <f t="shared" si="1"/>
        <v/>
      </c>
      <c r="E32" s="1">
        <v>1290</v>
      </c>
      <c r="F32" s="6">
        <v>45692.659722222219</v>
      </c>
      <c r="G32" t="s">
        <v>226</v>
      </c>
      <c r="H32" t="s">
        <v>126</v>
      </c>
    </row>
    <row r="33" spans="1:8" x14ac:dyDescent="0.3">
      <c r="A33" t="s">
        <v>152</v>
      </c>
      <c r="B33" t="s">
        <v>48</v>
      </c>
      <c r="C33" t="str">
        <f t="shared" si="0"/>
        <v>华硕ROG枪神7</v>
      </c>
      <c r="D33" t="str">
        <f t="shared" si="1"/>
        <v/>
      </c>
      <c r="E33" s="1">
        <v>9999</v>
      </c>
      <c r="F33" s="6">
        <v>45693.715277777781</v>
      </c>
      <c r="G33" t="s">
        <v>225</v>
      </c>
      <c r="H33" t="s">
        <v>124</v>
      </c>
    </row>
    <row r="34" spans="1:8" x14ac:dyDescent="0.3">
      <c r="A34" t="s">
        <v>153</v>
      </c>
      <c r="B34" t="s">
        <v>49</v>
      </c>
      <c r="C34" t="str">
        <f t="shared" si="0"/>
        <v>New Balance运动鞋 42码</v>
      </c>
      <c r="D34" t="str">
        <f t="shared" si="1"/>
        <v>42码</v>
      </c>
      <c r="E34" s="1">
        <v>599</v>
      </c>
      <c r="F34" s="6">
        <v>45694.40625</v>
      </c>
      <c r="G34" t="s">
        <v>232</v>
      </c>
      <c r="H34" t="s">
        <v>120</v>
      </c>
    </row>
    <row r="35" spans="1:8" x14ac:dyDescent="0.3">
      <c r="A35" t="s">
        <v>154</v>
      </c>
      <c r="B35" t="s">
        <v>50</v>
      </c>
      <c r="C35" t="str">
        <f t="shared" si="0"/>
        <v>AirPods Pro 2</v>
      </c>
      <c r="D35" t="str">
        <f t="shared" si="1"/>
        <v>2</v>
      </c>
      <c r="E35" s="1">
        <v>1899</v>
      </c>
      <c r="F35" s="6">
        <v>45695.583333333336</v>
      </c>
      <c r="G35" t="s">
        <v>224</v>
      </c>
      <c r="H35" t="s">
        <v>118</v>
      </c>
    </row>
    <row r="36" spans="1:8" x14ac:dyDescent="0.3">
      <c r="A36" t="s">
        <v>155</v>
      </c>
      <c r="B36" t="s">
        <v>51</v>
      </c>
      <c r="C36" t="str">
        <f t="shared" si="0"/>
        <v>方太燃气灶</v>
      </c>
      <c r="D36" t="str">
        <f t="shared" si="1"/>
        <v/>
      </c>
      <c r="E36" s="1">
        <v>1899</v>
      </c>
      <c r="F36" s="6">
        <v>45696.815972222219</v>
      </c>
      <c r="G36" t="s">
        <v>230</v>
      </c>
      <c r="H36" t="s">
        <v>117</v>
      </c>
    </row>
    <row r="37" spans="1:8" x14ac:dyDescent="0.3">
      <c r="A37" t="s">
        <v>156</v>
      </c>
      <c r="B37" t="s">
        <v>52</v>
      </c>
      <c r="C37" t="str">
        <f t="shared" si="0"/>
        <v>香奈儿粉底液</v>
      </c>
      <c r="D37" t="str">
        <f t="shared" si="1"/>
        <v/>
      </c>
      <c r="E37" s="1">
        <v>630</v>
      </c>
      <c r="F37" s="6">
        <v>45697.479166666664</v>
      </c>
      <c r="G37" t="s">
        <v>228</v>
      </c>
      <c r="H37" t="s">
        <v>126</v>
      </c>
    </row>
    <row r="38" spans="1:8" x14ac:dyDescent="0.3">
      <c r="A38" t="s">
        <v>157</v>
      </c>
      <c r="B38" t="s">
        <v>53</v>
      </c>
      <c r="C38" t="str">
        <f t="shared" si="0"/>
        <v>MacBook Air M2</v>
      </c>
      <c r="D38" t="str">
        <f t="shared" si="1"/>
        <v>M2</v>
      </c>
      <c r="E38" s="1">
        <v>8999</v>
      </c>
      <c r="F38" s="6">
        <v>45698.697916666664</v>
      </c>
      <c r="G38" t="s">
        <v>226</v>
      </c>
      <c r="H38" t="s">
        <v>124</v>
      </c>
    </row>
    <row r="39" spans="1:8" x14ac:dyDescent="0.3">
      <c r="A39" t="s">
        <v>158</v>
      </c>
      <c r="B39" t="s">
        <v>54</v>
      </c>
      <c r="C39" t="str">
        <f t="shared" si="0"/>
        <v>森马休闲裤 L码</v>
      </c>
      <c r="D39" t="str">
        <f t="shared" si="1"/>
        <v>L码</v>
      </c>
      <c r="E39" s="1">
        <v>159</v>
      </c>
      <c r="F39" s="6">
        <v>45699.420138888891</v>
      </c>
      <c r="G39" t="s">
        <v>229</v>
      </c>
      <c r="H39" t="s">
        <v>120</v>
      </c>
    </row>
    <row r="40" spans="1:8" x14ac:dyDescent="0.3">
      <c r="A40" t="s">
        <v>159</v>
      </c>
      <c r="B40" t="s">
        <v>55</v>
      </c>
      <c r="C40" t="str">
        <f t="shared" si="0"/>
        <v>荣耀Magic6 Pro</v>
      </c>
      <c r="D40" t="str">
        <f t="shared" si="1"/>
        <v>Pro</v>
      </c>
      <c r="E40" s="1">
        <v>4999</v>
      </c>
      <c r="F40" s="6">
        <v>45700.847222222219</v>
      </c>
      <c r="G40" t="s">
        <v>224</v>
      </c>
      <c r="H40" t="s">
        <v>118</v>
      </c>
    </row>
    <row r="41" spans="1:8" x14ac:dyDescent="0.3">
      <c r="A41" t="s">
        <v>160</v>
      </c>
      <c r="B41" t="s">
        <v>56</v>
      </c>
      <c r="C41" t="str">
        <f t="shared" si="0"/>
        <v>松下微波炉</v>
      </c>
      <c r="D41" t="str">
        <f t="shared" si="1"/>
        <v/>
      </c>
      <c r="E41" s="1">
        <v>899</v>
      </c>
      <c r="F41" s="6">
        <v>45701.642361111109</v>
      </c>
      <c r="G41" t="s">
        <v>233</v>
      </c>
      <c r="H41" t="s">
        <v>117</v>
      </c>
    </row>
    <row r="42" spans="1:8" x14ac:dyDescent="0.3">
      <c r="A42" t="s">
        <v>161</v>
      </c>
      <c r="B42" t="s">
        <v>57</v>
      </c>
      <c r="C42" t="str">
        <f t="shared" si="0"/>
        <v>迪奥999口红</v>
      </c>
      <c r="D42" t="str">
        <f t="shared" si="1"/>
        <v/>
      </c>
      <c r="E42" s="1">
        <v>380</v>
      </c>
      <c r="F42" s="6">
        <v>45702.381944444445</v>
      </c>
      <c r="G42" t="s">
        <v>228</v>
      </c>
      <c r="H42" t="s">
        <v>126</v>
      </c>
    </row>
    <row r="43" spans="1:8" x14ac:dyDescent="0.3">
      <c r="A43" t="s">
        <v>162</v>
      </c>
      <c r="B43" t="s">
        <v>58</v>
      </c>
      <c r="C43" t="str">
        <f t="shared" si="0"/>
        <v>Surface Laptop 5</v>
      </c>
      <c r="D43" t="str">
        <f t="shared" si="1"/>
        <v>5</v>
      </c>
      <c r="E43" s="1">
        <v>7999</v>
      </c>
      <c r="F43" s="6">
        <v>45703.611111111109</v>
      </c>
      <c r="G43" t="s">
        <v>227</v>
      </c>
      <c r="H43" t="s">
        <v>124</v>
      </c>
    </row>
    <row r="44" spans="1:8" x14ac:dyDescent="0.3">
      <c r="A44" t="s">
        <v>163</v>
      </c>
      <c r="B44" t="s">
        <v>59</v>
      </c>
      <c r="C44" t="str">
        <f t="shared" si="0"/>
        <v>匡威帆布鞋 41码</v>
      </c>
      <c r="D44" t="str">
        <f t="shared" si="1"/>
        <v>41码</v>
      </c>
      <c r="E44" s="1">
        <v>399</v>
      </c>
      <c r="F44" s="6">
        <v>45704.788194444445</v>
      </c>
      <c r="G44" t="s">
        <v>225</v>
      </c>
      <c r="H44" t="s">
        <v>120</v>
      </c>
    </row>
    <row r="45" spans="1:8" x14ac:dyDescent="0.3">
      <c r="A45" t="s">
        <v>164</v>
      </c>
      <c r="B45" t="s">
        <v>60</v>
      </c>
      <c r="C45" t="str">
        <f t="shared" si="0"/>
        <v>iPad Pro 12.9</v>
      </c>
      <c r="D45" t="str">
        <f t="shared" si="1"/>
        <v>12.9</v>
      </c>
      <c r="E45" s="1">
        <v>9999</v>
      </c>
      <c r="F45" s="6">
        <v>45705.493055555555</v>
      </c>
      <c r="G45" t="s">
        <v>224</v>
      </c>
      <c r="H45" t="s">
        <v>118</v>
      </c>
    </row>
    <row r="46" spans="1:8" x14ac:dyDescent="0.3">
      <c r="A46" t="s">
        <v>165</v>
      </c>
      <c r="B46" t="s">
        <v>61</v>
      </c>
      <c r="C46" t="str">
        <f t="shared" si="0"/>
        <v>海尔热水器</v>
      </c>
      <c r="D46" t="str">
        <f t="shared" si="1"/>
        <v/>
      </c>
      <c r="E46" s="1">
        <v>1299</v>
      </c>
      <c r="F46" s="6">
        <v>45706.875</v>
      </c>
      <c r="G46" t="s">
        <v>231</v>
      </c>
      <c r="H46" t="s">
        <v>117</v>
      </c>
    </row>
    <row r="47" spans="1:8" x14ac:dyDescent="0.3">
      <c r="A47" t="s">
        <v>166</v>
      </c>
      <c r="B47" t="s">
        <v>62</v>
      </c>
      <c r="C47" t="str">
        <f t="shared" si="0"/>
        <v>娇韵诗双萃精华</v>
      </c>
      <c r="D47" t="str">
        <f t="shared" si="1"/>
        <v/>
      </c>
      <c r="E47" s="1">
        <v>960</v>
      </c>
      <c r="F47" s="6">
        <v>45707.434027777781</v>
      </c>
      <c r="G47" t="s">
        <v>226</v>
      </c>
      <c r="H47" t="s">
        <v>126</v>
      </c>
    </row>
    <row r="48" spans="1:8" x14ac:dyDescent="0.3">
      <c r="A48" t="s">
        <v>167</v>
      </c>
      <c r="B48" t="s">
        <v>63</v>
      </c>
      <c r="C48" t="str">
        <f t="shared" si="0"/>
        <v>外星人x14</v>
      </c>
      <c r="D48" t="str">
        <f t="shared" si="1"/>
        <v/>
      </c>
      <c r="E48" s="1">
        <v>12999</v>
      </c>
      <c r="F48" s="6">
        <v>45708.690972222219</v>
      </c>
      <c r="G48" t="s">
        <v>232</v>
      </c>
      <c r="H48" t="s">
        <v>124</v>
      </c>
    </row>
    <row r="49" spans="1:8" x14ac:dyDescent="0.3">
      <c r="A49" t="s">
        <v>168</v>
      </c>
      <c r="B49" t="s">
        <v>64</v>
      </c>
      <c r="C49" t="str">
        <f t="shared" si="0"/>
        <v>卡帕外套 M码</v>
      </c>
      <c r="D49" t="str">
        <f t="shared" si="1"/>
        <v>M码</v>
      </c>
      <c r="E49" s="1">
        <v>299</v>
      </c>
      <c r="F49" s="6">
        <v>45709.802083333336</v>
      </c>
      <c r="G49" t="s">
        <v>229</v>
      </c>
      <c r="H49" t="s">
        <v>120</v>
      </c>
    </row>
    <row r="50" spans="1:8" x14ac:dyDescent="0.3">
      <c r="A50" t="s">
        <v>169</v>
      </c>
      <c r="B50" t="s">
        <v>65</v>
      </c>
      <c r="C50" t="str">
        <f t="shared" si="0"/>
        <v>小米14 Ultra</v>
      </c>
      <c r="D50" t="str">
        <f t="shared" si="1"/>
        <v>Ultra</v>
      </c>
      <c r="E50" s="1">
        <v>5999</v>
      </c>
      <c r="F50" s="6">
        <v>45710.361111111109</v>
      </c>
      <c r="G50" t="s">
        <v>224</v>
      </c>
      <c r="H50" t="s">
        <v>118</v>
      </c>
    </row>
    <row r="51" spans="1:8" x14ac:dyDescent="0.3">
      <c r="A51" t="s">
        <v>170</v>
      </c>
      <c r="B51" t="s">
        <v>66</v>
      </c>
      <c r="C51" t="str">
        <f t="shared" si="0"/>
        <v>美的扫地机器人</v>
      </c>
      <c r="D51" t="str">
        <f t="shared" si="1"/>
        <v/>
      </c>
      <c r="E51" s="1">
        <v>2699</v>
      </c>
      <c r="F51" s="6">
        <v>45711.663194444445</v>
      </c>
      <c r="G51" t="s">
        <v>233</v>
      </c>
      <c r="H51" t="s">
        <v>117</v>
      </c>
    </row>
    <row r="52" spans="1:8" x14ac:dyDescent="0.3">
      <c r="A52" t="s">
        <v>171</v>
      </c>
      <c r="B52" t="s">
        <v>67</v>
      </c>
      <c r="C52" t="str">
        <f t="shared" si="0"/>
        <v>YSL小金条</v>
      </c>
      <c r="D52" t="str">
        <f t="shared" si="1"/>
        <v/>
      </c>
      <c r="E52" s="1">
        <v>480</v>
      </c>
      <c r="F52" s="6">
        <v>45712.461805555555</v>
      </c>
      <c r="G52" t="s">
        <v>228</v>
      </c>
      <c r="H52" t="s">
        <v>126</v>
      </c>
    </row>
    <row r="53" spans="1:8" x14ac:dyDescent="0.3">
      <c r="A53" t="s">
        <v>172</v>
      </c>
      <c r="B53" t="s">
        <v>68</v>
      </c>
      <c r="C53" t="str">
        <f t="shared" si="0"/>
        <v>ThinkPad X1 Carbon</v>
      </c>
      <c r="D53" t="str">
        <f t="shared" si="1"/>
        <v>Carbon</v>
      </c>
      <c r="E53" s="1">
        <v>9999</v>
      </c>
      <c r="F53" s="6">
        <v>45713.597222222219</v>
      </c>
      <c r="G53" t="s">
        <v>227</v>
      </c>
      <c r="H53" t="s">
        <v>124</v>
      </c>
    </row>
    <row r="54" spans="1:8" x14ac:dyDescent="0.3">
      <c r="A54" t="s">
        <v>173</v>
      </c>
      <c r="B54" t="s">
        <v>69</v>
      </c>
      <c r="C54" t="str">
        <f t="shared" si="0"/>
        <v>回力帆布鞋 42码</v>
      </c>
      <c r="D54" t="str">
        <f t="shared" si="1"/>
        <v>42码</v>
      </c>
      <c r="E54" s="1">
        <v>69</v>
      </c>
      <c r="F54" s="6">
        <v>45714.739583333336</v>
      </c>
      <c r="G54" t="s">
        <v>225</v>
      </c>
      <c r="H54" t="s">
        <v>120</v>
      </c>
    </row>
    <row r="55" spans="1:8" x14ac:dyDescent="0.3">
      <c r="A55" t="s">
        <v>174</v>
      </c>
      <c r="B55" t="s">
        <v>70</v>
      </c>
      <c r="C55" t="str">
        <f t="shared" si="0"/>
        <v>Sony Xperia 5 V</v>
      </c>
      <c r="D55" t="str">
        <f t="shared" si="1"/>
        <v>V</v>
      </c>
      <c r="E55" s="1">
        <v>5999</v>
      </c>
      <c r="F55" s="6">
        <v>45715.395833333336</v>
      </c>
      <c r="G55" t="s">
        <v>224</v>
      </c>
      <c r="H55" t="s">
        <v>118</v>
      </c>
    </row>
    <row r="56" spans="1:8" x14ac:dyDescent="0.3">
      <c r="A56" t="s">
        <v>175</v>
      </c>
      <c r="B56" t="s">
        <v>71</v>
      </c>
      <c r="C56" t="str">
        <f t="shared" si="0"/>
        <v>卡萨帝洗衣机</v>
      </c>
      <c r="D56" t="str">
        <f t="shared" si="1"/>
        <v/>
      </c>
      <c r="E56" s="1">
        <v>4999</v>
      </c>
      <c r="F56" s="6">
        <v>45716.868055555555</v>
      </c>
      <c r="G56" t="s">
        <v>230</v>
      </c>
      <c r="H56" t="s">
        <v>117</v>
      </c>
    </row>
    <row r="57" spans="1:8" x14ac:dyDescent="0.3">
      <c r="A57" t="s">
        <v>176</v>
      </c>
      <c r="B57" t="s">
        <v>72</v>
      </c>
      <c r="C57" t="str">
        <f t="shared" si="0"/>
        <v>雪花秀润燥精华</v>
      </c>
      <c r="D57" t="str">
        <f t="shared" si="1"/>
        <v/>
      </c>
      <c r="E57" s="1">
        <v>680</v>
      </c>
      <c r="F57" s="6">
        <v>45717.447916666664</v>
      </c>
      <c r="G57" t="s">
        <v>226</v>
      </c>
      <c r="H57" t="s">
        <v>126</v>
      </c>
    </row>
    <row r="58" spans="1:8" x14ac:dyDescent="0.3">
      <c r="A58" t="s">
        <v>177</v>
      </c>
      <c r="B58" t="s">
        <v>73</v>
      </c>
      <c r="C58" t="str">
        <f t="shared" si="0"/>
        <v>微星泰坦GT77</v>
      </c>
      <c r="D58" t="str">
        <f t="shared" si="1"/>
        <v/>
      </c>
      <c r="E58" s="1">
        <v>19999</v>
      </c>
      <c r="F58" s="6">
        <v>45718.673611111109</v>
      </c>
      <c r="G58" t="s">
        <v>232</v>
      </c>
      <c r="H58" t="s">
        <v>124</v>
      </c>
    </row>
    <row r="59" spans="1:8" x14ac:dyDescent="0.3">
      <c r="A59" t="s">
        <v>178</v>
      </c>
      <c r="B59" t="s">
        <v>74</v>
      </c>
      <c r="C59" t="str">
        <f t="shared" si="0"/>
        <v>七匹狼皮带</v>
      </c>
      <c r="D59" t="str">
        <f t="shared" si="1"/>
        <v/>
      </c>
      <c r="E59" s="1">
        <v>199</v>
      </c>
      <c r="F59" s="6">
        <v>45719.815972222219</v>
      </c>
      <c r="G59" t="s">
        <v>229</v>
      </c>
      <c r="H59" t="s">
        <v>120</v>
      </c>
    </row>
    <row r="60" spans="1:8" x14ac:dyDescent="0.3">
      <c r="A60" t="s">
        <v>179</v>
      </c>
      <c r="B60" t="s">
        <v>75</v>
      </c>
      <c r="C60" t="str">
        <f t="shared" si="0"/>
        <v>realme GT5</v>
      </c>
      <c r="D60" t="str">
        <f t="shared" si="1"/>
        <v>GT5</v>
      </c>
      <c r="E60" s="1">
        <v>2999</v>
      </c>
      <c r="F60" s="6">
        <v>45720.347222222219</v>
      </c>
      <c r="G60" t="s">
        <v>224</v>
      </c>
      <c r="H60" t="s">
        <v>118</v>
      </c>
    </row>
    <row r="61" spans="1:8" x14ac:dyDescent="0.3">
      <c r="A61" t="s">
        <v>180</v>
      </c>
      <c r="B61" t="s">
        <v>76</v>
      </c>
      <c r="C61" t="str">
        <f t="shared" si="0"/>
        <v>LG冰箱 300L</v>
      </c>
      <c r="D61" t="str">
        <f t="shared" si="1"/>
        <v>300L</v>
      </c>
      <c r="E61" s="1">
        <v>3699</v>
      </c>
      <c r="F61" s="6">
        <v>45721.625</v>
      </c>
      <c r="G61" t="s">
        <v>233</v>
      </c>
      <c r="H61" t="s">
        <v>117</v>
      </c>
    </row>
    <row r="62" spans="1:8" x14ac:dyDescent="0.3">
      <c r="A62" t="s">
        <v>181</v>
      </c>
      <c r="B62" t="s">
        <v>77</v>
      </c>
      <c r="C62" t="str">
        <f t="shared" si="0"/>
        <v>TF黑管口红</v>
      </c>
      <c r="D62" t="str">
        <f t="shared" si="1"/>
        <v/>
      </c>
      <c r="E62" s="1">
        <v>580</v>
      </c>
      <c r="F62" s="6">
        <v>45722.475694444445</v>
      </c>
      <c r="G62" t="s">
        <v>228</v>
      </c>
      <c r="H62" t="s">
        <v>126</v>
      </c>
    </row>
    <row r="63" spans="1:8" x14ac:dyDescent="0.3">
      <c r="A63" t="s">
        <v>182</v>
      </c>
      <c r="B63" t="s">
        <v>78</v>
      </c>
      <c r="C63" t="str">
        <f t="shared" si="0"/>
        <v>ROG幻16</v>
      </c>
      <c r="D63" t="str">
        <f t="shared" si="1"/>
        <v/>
      </c>
      <c r="E63" s="1">
        <v>11999</v>
      </c>
      <c r="F63" s="6">
        <v>45723.618055555555</v>
      </c>
      <c r="G63" t="s">
        <v>227</v>
      </c>
      <c r="H63" t="s">
        <v>124</v>
      </c>
    </row>
    <row r="64" spans="1:8" x14ac:dyDescent="0.3">
      <c r="A64" t="s">
        <v>183</v>
      </c>
      <c r="B64" t="s">
        <v>79</v>
      </c>
      <c r="C64" t="str">
        <f t="shared" si="0"/>
        <v>无印良品衬衫 M码</v>
      </c>
      <c r="D64" t="str">
        <f t="shared" si="1"/>
        <v>M码</v>
      </c>
      <c r="E64" s="1">
        <v>249</v>
      </c>
      <c r="F64" s="6">
        <v>45724.753472222219</v>
      </c>
      <c r="G64" t="s">
        <v>225</v>
      </c>
      <c r="H64" t="s">
        <v>120</v>
      </c>
    </row>
    <row r="65" spans="1:8" x14ac:dyDescent="0.3">
      <c r="A65" t="s">
        <v>184</v>
      </c>
      <c r="B65" t="s">
        <v>80</v>
      </c>
      <c r="C65" t="str">
        <f t="shared" si="0"/>
        <v>OPPO Find X7</v>
      </c>
      <c r="D65" t="str">
        <f t="shared" si="1"/>
        <v>X7</v>
      </c>
      <c r="E65" s="1">
        <v>4999</v>
      </c>
      <c r="F65" s="6">
        <v>45725.413194444445</v>
      </c>
      <c r="G65" t="s">
        <v>224</v>
      </c>
      <c r="H65" t="s">
        <v>118</v>
      </c>
    </row>
    <row r="66" spans="1:8" x14ac:dyDescent="0.3">
      <c r="A66" t="s">
        <v>185</v>
      </c>
      <c r="B66" t="s">
        <v>81</v>
      </c>
      <c r="C66" t="str">
        <f t="shared" si="0"/>
        <v>博世洗碗机</v>
      </c>
      <c r="D66" t="str">
        <f t="shared" si="1"/>
        <v/>
      </c>
      <c r="E66" s="1">
        <v>5999</v>
      </c>
      <c r="F66" s="6">
        <v>45726.888888888891</v>
      </c>
      <c r="G66" t="s">
        <v>231</v>
      </c>
      <c r="H66" t="s">
        <v>117</v>
      </c>
    </row>
    <row r="67" spans="1:8" x14ac:dyDescent="0.3">
      <c r="A67" t="s">
        <v>186</v>
      </c>
      <c r="B67" t="s">
        <v>82</v>
      </c>
      <c r="C67" t="str">
        <f t="shared" ref="C67:C101" si="2">IFERROR(LEFT(B67, FIND("@K2", SUBSTITUTE(B67, " ", "@", LEN(B67)-LEN(SUBSTITUTE(B67, " ", ""))))), B67)</f>
        <v>倩碧黄油</v>
      </c>
      <c r="D67" t="str">
        <f t="shared" ref="D67:D101" si="3">IFERROR(RIGHT(B67, LEN(B67)-FIND("@", SUBSTITUTE(B67, " ", "@", LEN(B67)-LEN(SUBSTITUTE(B67, " ", ""))))), "")</f>
        <v/>
      </c>
      <c r="E67" s="1">
        <v>295</v>
      </c>
      <c r="F67" s="6">
        <v>45727.427083333336</v>
      </c>
      <c r="G67" t="s">
        <v>226</v>
      </c>
      <c r="H67" t="s">
        <v>126</v>
      </c>
    </row>
    <row r="68" spans="1:8" x14ac:dyDescent="0.3">
      <c r="A68" t="s">
        <v>187</v>
      </c>
      <c r="B68" t="s">
        <v>83</v>
      </c>
      <c r="C68" t="str">
        <f t="shared" si="2"/>
        <v>雷蛇灵刃14</v>
      </c>
      <c r="D68" t="str">
        <f t="shared" si="3"/>
        <v/>
      </c>
      <c r="E68" s="1">
        <v>12999</v>
      </c>
      <c r="F68" s="6">
        <v>45728.694444444445</v>
      </c>
      <c r="G68" t="s">
        <v>232</v>
      </c>
      <c r="H68" t="s">
        <v>124</v>
      </c>
    </row>
    <row r="69" spans="1:8" x14ac:dyDescent="0.3">
      <c r="A69" t="s">
        <v>188</v>
      </c>
      <c r="B69" t="s">
        <v>84</v>
      </c>
      <c r="C69" t="str">
        <f t="shared" si="2"/>
        <v>稻草人钱包</v>
      </c>
      <c r="D69" t="str">
        <f t="shared" si="3"/>
        <v/>
      </c>
      <c r="E69" s="1">
        <v>99</v>
      </c>
      <c r="F69" s="6">
        <v>45729.791666666664</v>
      </c>
      <c r="G69" t="s">
        <v>229</v>
      </c>
      <c r="H69" t="s">
        <v>120</v>
      </c>
    </row>
    <row r="70" spans="1:8" x14ac:dyDescent="0.3">
      <c r="A70" t="s">
        <v>189</v>
      </c>
      <c r="B70" t="s">
        <v>85</v>
      </c>
      <c r="C70" t="str">
        <f t="shared" si="2"/>
        <v>vivo X100 Pro</v>
      </c>
      <c r="D70" t="str">
        <f t="shared" si="3"/>
        <v>Pro</v>
      </c>
      <c r="E70" s="1">
        <v>4999</v>
      </c>
      <c r="F70" s="6">
        <v>45730.364583333336</v>
      </c>
      <c r="G70" t="s">
        <v>224</v>
      </c>
      <c r="H70" t="s">
        <v>118</v>
      </c>
    </row>
    <row r="71" spans="1:8" x14ac:dyDescent="0.3">
      <c r="A71" t="s">
        <v>190</v>
      </c>
      <c r="B71" t="s">
        <v>86</v>
      </c>
      <c r="C71" t="str">
        <f t="shared" si="2"/>
        <v>夏普电视 65寸</v>
      </c>
      <c r="D71" t="str">
        <f t="shared" si="3"/>
        <v>65寸</v>
      </c>
      <c r="E71" s="1">
        <v>3999</v>
      </c>
      <c r="F71" s="6">
        <v>45731.645833333336</v>
      </c>
      <c r="G71" t="s">
        <v>233</v>
      </c>
      <c r="H71" t="s">
        <v>117</v>
      </c>
    </row>
    <row r="72" spans="1:8" x14ac:dyDescent="0.3">
      <c r="A72" t="s">
        <v>191</v>
      </c>
      <c r="B72" t="s">
        <v>87</v>
      </c>
      <c r="C72" t="str">
        <f t="shared" si="2"/>
        <v>阿玛尼粉底液</v>
      </c>
      <c r="D72" t="str">
        <f t="shared" si="3"/>
        <v/>
      </c>
      <c r="E72" s="1">
        <v>580</v>
      </c>
      <c r="F72" s="6">
        <v>45732.496527777781</v>
      </c>
      <c r="G72" t="s">
        <v>228</v>
      </c>
      <c r="H72" t="s">
        <v>126</v>
      </c>
    </row>
    <row r="73" spans="1:8" x14ac:dyDescent="0.3">
      <c r="A73" t="s">
        <v>192</v>
      </c>
      <c r="B73" t="s">
        <v>88</v>
      </c>
      <c r="C73" t="str">
        <f t="shared" si="2"/>
        <v>MacBook Pro 14</v>
      </c>
      <c r="D73" t="str">
        <f t="shared" si="3"/>
        <v>14</v>
      </c>
      <c r="E73" s="1">
        <v>14999</v>
      </c>
      <c r="F73" s="6">
        <v>45733.590277777781</v>
      </c>
      <c r="G73" t="s">
        <v>226</v>
      </c>
      <c r="H73" t="s">
        <v>124</v>
      </c>
    </row>
    <row r="74" spans="1:8" x14ac:dyDescent="0.3">
      <c r="A74" t="s">
        <v>193</v>
      </c>
      <c r="B74" t="s">
        <v>89</v>
      </c>
      <c r="C74" t="str">
        <f t="shared" si="2"/>
        <v>杰克琼斯牛仔裤 32码</v>
      </c>
      <c r="D74" t="str">
        <f t="shared" si="3"/>
        <v>32码</v>
      </c>
      <c r="E74" s="1">
        <v>299</v>
      </c>
      <c r="F74" s="6">
        <v>45734.725694444445</v>
      </c>
      <c r="G74" t="s">
        <v>225</v>
      </c>
      <c r="H74" t="s">
        <v>120</v>
      </c>
    </row>
    <row r="75" spans="1:8" x14ac:dyDescent="0.3">
      <c r="A75" t="s">
        <v>194</v>
      </c>
      <c r="B75" t="s">
        <v>90</v>
      </c>
      <c r="C75" t="str">
        <f t="shared" si="2"/>
        <v>Redmi K70 Pro</v>
      </c>
      <c r="D75" t="str">
        <f t="shared" si="3"/>
        <v>Pro</v>
      </c>
      <c r="E75" s="1">
        <v>3299</v>
      </c>
      <c r="F75" s="6">
        <v>45735.388888888891</v>
      </c>
      <c r="G75" t="s">
        <v>224</v>
      </c>
      <c r="H75" t="s">
        <v>118</v>
      </c>
    </row>
    <row r="76" spans="1:8" x14ac:dyDescent="0.3">
      <c r="A76" t="s">
        <v>195</v>
      </c>
      <c r="B76" t="s">
        <v>91</v>
      </c>
      <c r="C76" t="str">
        <f t="shared" si="2"/>
        <v>史密斯热水器</v>
      </c>
      <c r="D76" t="str">
        <f t="shared" si="3"/>
        <v/>
      </c>
      <c r="E76" s="1">
        <v>3999</v>
      </c>
      <c r="F76" s="6">
        <v>45736.864583333336</v>
      </c>
      <c r="G76" t="s">
        <v>230</v>
      </c>
      <c r="H76" t="s">
        <v>117</v>
      </c>
    </row>
    <row r="77" spans="1:8" x14ac:dyDescent="0.3">
      <c r="A77" t="s">
        <v>196</v>
      </c>
      <c r="B77" t="s">
        <v>92</v>
      </c>
      <c r="C77" t="str">
        <f t="shared" si="2"/>
        <v>科颜氏白泥</v>
      </c>
      <c r="D77" t="str">
        <f t="shared" si="3"/>
        <v/>
      </c>
      <c r="E77" s="1">
        <v>290</v>
      </c>
      <c r="F77" s="6">
        <v>45737.440972222219</v>
      </c>
      <c r="G77" t="s">
        <v>228</v>
      </c>
      <c r="H77" t="s">
        <v>126</v>
      </c>
    </row>
    <row r="78" spans="1:8" x14ac:dyDescent="0.3">
      <c r="A78" t="s">
        <v>197</v>
      </c>
      <c r="B78" t="s">
        <v>93</v>
      </c>
      <c r="C78" t="str">
        <f t="shared" si="2"/>
        <v>外星人Area-51m</v>
      </c>
      <c r="D78" t="str">
        <f t="shared" si="3"/>
        <v/>
      </c>
      <c r="E78" s="1">
        <v>29999</v>
      </c>
      <c r="F78" s="6">
        <v>45738.666666666664</v>
      </c>
      <c r="G78" t="s">
        <v>232</v>
      </c>
      <c r="H78" t="s">
        <v>124</v>
      </c>
    </row>
    <row r="79" spans="1:8" x14ac:dyDescent="0.3">
      <c r="A79" t="s">
        <v>198</v>
      </c>
      <c r="B79" t="s">
        <v>94</v>
      </c>
      <c r="C79" t="str">
        <f t="shared" si="2"/>
        <v>马克华菲夹克 M码</v>
      </c>
      <c r="D79" t="str">
        <f t="shared" si="3"/>
        <v>M码</v>
      </c>
      <c r="E79" s="1">
        <v>399</v>
      </c>
      <c r="F79" s="6">
        <v>45739.826388888891</v>
      </c>
      <c r="G79" t="s">
        <v>229</v>
      </c>
      <c r="H79" t="s">
        <v>120</v>
      </c>
    </row>
    <row r="80" spans="1:8" x14ac:dyDescent="0.3">
      <c r="A80" t="s">
        <v>199</v>
      </c>
      <c r="B80" t="s">
        <v>95</v>
      </c>
      <c r="C80" t="str">
        <f t="shared" si="2"/>
        <v>iQOO 12</v>
      </c>
      <c r="D80" t="str">
        <f t="shared" si="3"/>
        <v>12</v>
      </c>
      <c r="E80" s="1">
        <v>4299</v>
      </c>
      <c r="F80" s="6">
        <v>45740.357638888891</v>
      </c>
      <c r="G80" t="s">
        <v>224</v>
      </c>
      <c r="H80" t="s">
        <v>118</v>
      </c>
    </row>
    <row r="81" spans="1:8" x14ac:dyDescent="0.3">
      <c r="A81" t="s">
        <v>200</v>
      </c>
      <c r="B81" t="s">
        <v>96</v>
      </c>
      <c r="C81" t="str">
        <f t="shared" si="2"/>
        <v>松下空气净化器</v>
      </c>
      <c r="D81" t="str">
        <f t="shared" si="3"/>
        <v/>
      </c>
      <c r="E81" s="1">
        <v>1299</v>
      </c>
      <c r="F81" s="6">
        <v>45741.635416666664</v>
      </c>
      <c r="G81" t="s">
        <v>233</v>
      </c>
      <c r="H81" t="s">
        <v>117</v>
      </c>
    </row>
    <row r="82" spans="1:8" x14ac:dyDescent="0.3">
      <c r="A82" t="s">
        <v>201</v>
      </c>
      <c r="B82" t="s">
        <v>97</v>
      </c>
      <c r="C82" t="str">
        <f t="shared" si="2"/>
        <v>祖玛珑香水</v>
      </c>
      <c r="D82" t="str">
        <f t="shared" si="3"/>
        <v/>
      </c>
      <c r="E82" s="1">
        <v>1290</v>
      </c>
      <c r="F82" s="6">
        <v>45742.486111111109</v>
      </c>
      <c r="G82" t="s">
        <v>226</v>
      </c>
      <c r="H82" t="s">
        <v>126</v>
      </c>
    </row>
    <row r="83" spans="1:8" x14ac:dyDescent="0.3">
      <c r="A83" t="s">
        <v>202</v>
      </c>
      <c r="B83" t="s">
        <v>98</v>
      </c>
      <c r="C83" t="str">
        <f t="shared" si="2"/>
        <v>Surface Pro 9</v>
      </c>
      <c r="D83" t="str">
        <f t="shared" si="3"/>
        <v>9</v>
      </c>
      <c r="E83" s="1">
        <v>8999</v>
      </c>
      <c r="F83" s="6">
        <v>45743.621527777781</v>
      </c>
      <c r="G83" t="s">
        <v>227</v>
      </c>
      <c r="H83" t="s">
        <v>124</v>
      </c>
    </row>
    <row r="84" spans="1:8" x14ac:dyDescent="0.3">
      <c r="A84" t="s">
        <v>203</v>
      </c>
      <c r="B84" t="s">
        <v>99</v>
      </c>
      <c r="C84" t="str">
        <f t="shared" si="2"/>
        <v>李维斯牛仔裤 31码</v>
      </c>
      <c r="D84" t="str">
        <f t="shared" si="3"/>
        <v>31码</v>
      </c>
      <c r="E84" s="1">
        <v>399</v>
      </c>
      <c r="F84" s="6">
        <v>45744.756944444445</v>
      </c>
      <c r="G84" t="s">
        <v>225</v>
      </c>
      <c r="H84" t="s">
        <v>120</v>
      </c>
    </row>
    <row r="85" spans="1:8" x14ac:dyDescent="0.3">
      <c r="A85" t="s">
        <v>204</v>
      </c>
      <c r="B85" t="s">
        <v>100</v>
      </c>
      <c r="C85" t="str">
        <f t="shared" si="2"/>
        <v>努比亚Z60 Ultra</v>
      </c>
      <c r="D85" t="str">
        <f t="shared" si="3"/>
        <v>Ultra</v>
      </c>
      <c r="E85" s="1">
        <v>5999</v>
      </c>
      <c r="F85" s="6">
        <v>45745.40625</v>
      </c>
      <c r="G85" t="s">
        <v>224</v>
      </c>
      <c r="H85" t="s">
        <v>118</v>
      </c>
    </row>
    <row r="86" spans="1:8" x14ac:dyDescent="0.3">
      <c r="A86" t="s">
        <v>205</v>
      </c>
      <c r="B86" t="s">
        <v>101</v>
      </c>
      <c r="C86" t="str">
        <f t="shared" si="2"/>
        <v>老板消毒柜</v>
      </c>
      <c r="D86" t="str">
        <f t="shared" si="3"/>
        <v/>
      </c>
      <c r="E86" s="1">
        <v>2699</v>
      </c>
      <c r="F86" s="6">
        <v>45746.895833333336</v>
      </c>
      <c r="G86" t="s">
        <v>231</v>
      </c>
      <c r="H86" t="s">
        <v>117</v>
      </c>
    </row>
    <row r="87" spans="1:8" x14ac:dyDescent="0.3">
      <c r="A87" t="s">
        <v>206</v>
      </c>
      <c r="B87" t="s">
        <v>102</v>
      </c>
      <c r="C87" t="str">
        <f t="shared" si="2"/>
        <v>悦木之源菌菇水</v>
      </c>
      <c r="D87" t="str">
        <f t="shared" si="3"/>
        <v/>
      </c>
      <c r="E87" s="1">
        <v>320</v>
      </c>
      <c r="F87" s="6">
        <v>45747.416666666664</v>
      </c>
      <c r="G87" t="s">
        <v>228</v>
      </c>
      <c r="H87" t="s">
        <v>126</v>
      </c>
    </row>
    <row r="88" spans="1:8" x14ac:dyDescent="0.3">
      <c r="A88" t="s">
        <v>207</v>
      </c>
      <c r="B88" t="s">
        <v>103</v>
      </c>
      <c r="C88" t="str">
        <f t="shared" si="2"/>
        <v>ROG冰刃7</v>
      </c>
      <c r="D88" t="str">
        <f t="shared" si="3"/>
        <v/>
      </c>
      <c r="E88" s="1">
        <v>19999</v>
      </c>
      <c r="F88" s="6">
        <v>45748.684027777781</v>
      </c>
      <c r="G88" t="s">
        <v>232</v>
      </c>
      <c r="H88" t="s">
        <v>124</v>
      </c>
    </row>
    <row r="89" spans="1:8" x14ac:dyDescent="0.3">
      <c r="A89" t="s">
        <v>208</v>
      </c>
      <c r="B89" t="s">
        <v>104</v>
      </c>
      <c r="C89" t="str">
        <f t="shared" si="2"/>
        <v>南极人保暖内衣 L码</v>
      </c>
      <c r="D89" t="str">
        <f t="shared" si="3"/>
        <v>L码</v>
      </c>
      <c r="E89" s="1">
        <v>99</v>
      </c>
      <c r="F89" s="6">
        <v>45749.798611111109</v>
      </c>
      <c r="G89" t="s">
        <v>229</v>
      </c>
      <c r="H89" t="s">
        <v>120</v>
      </c>
    </row>
    <row r="90" spans="1:8" x14ac:dyDescent="0.3">
      <c r="A90" t="s">
        <v>209</v>
      </c>
      <c r="B90" t="s">
        <v>105</v>
      </c>
      <c r="C90" t="str">
        <f t="shared" si="2"/>
        <v>摩托罗拉edge S30</v>
      </c>
      <c r="D90" t="str">
        <f t="shared" si="3"/>
        <v>S30</v>
      </c>
      <c r="E90" s="1">
        <v>1999</v>
      </c>
      <c r="F90" s="6">
        <v>45750.350694444445</v>
      </c>
      <c r="G90" t="s">
        <v>224</v>
      </c>
      <c r="H90" t="s">
        <v>118</v>
      </c>
    </row>
    <row r="91" spans="1:8" x14ac:dyDescent="0.3">
      <c r="A91" t="s">
        <v>210</v>
      </c>
      <c r="B91" t="s">
        <v>106</v>
      </c>
      <c r="C91" t="str">
        <f t="shared" si="2"/>
        <v>美的微波炉</v>
      </c>
      <c r="D91" t="str">
        <f t="shared" si="3"/>
        <v/>
      </c>
      <c r="E91" s="1">
        <v>599</v>
      </c>
      <c r="F91" s="6">
        <v>45751.65625</v>
      </c>
      <c r="G91" t="s">
        <v>233</v>
      </c>
      <c r="H91" t="s">
        <v>117</v>
      </c>
    </row>
    <row r="92" spans="1:8" x14ac:dyDescent="0.3">
      <c r="A92" t="s">
        <v>211</v>
      </c>
      <c r="B92" t="s">
        <v>107</v>
      </c>
      <c r="C92" t="str">
        <f t="shared" si="2"/>
        <v>圣罗兰气垫</v>
      </c>
      <c r="D92" t="str">
        <f t="shared" si="3"/>
        <v/>
      </c>
      <c r="E92" s="1">
        <v>680</v>
      </c>
      <c r="F92" s="6">
        <v>45752.465277777781</v>
      </c>
      <c r="G92" t="s">
        <v>226</v>
      </c>
      <c r="H92" t="s">
        <v>126</v>
      </c>
    </row>
    <row r="93" spans="1:8" x14ac:dyDescent="0.3">
      <c r="A93" t="s">
        <v>212</v>
      </c>
      <c r="B93" t="s">
        <v>108</v>
      </c>
      <c r="C93" t="str">
        <f t="shared" si="2"/>
        <v>华为MateBook X Pro</v>
      </c>
      <c r="D93" t="str">
        <f t="shared" si="3"/>
        <v>Pro</v>
      </c>
      <c r="E93" s="1">
        <v>9999</v>
      </c>
      <c r="F93" s="6">
        <v>45753.604166666664</v>
      </c>
      <c r="G93" t="s">
        <v>227</v>
      </c>
      <c r="H93" t="s">
        <v>124</v>
      </c>
    </row>
    <row r="94" spans="1:8" x14ac:dyDescent="0.3">
      <c r="A94" t="s">
        <v>213</v>
      </c>
      <c r="B94" t="s">
        <v>109</v>
      </c>
      <c r="C94" t="str">
        <f t="shared" si="2"/>
        <v>斯凯奇运动鞋 43码</v>
      </c>
      <c r="D94" t="str">
        <f t="shared" si="3"/>
        <v>43码</v>
      </c>
      <c r="E94" s="1">
        <v>499</v>
      </c>
      <c r="F94" s="6">
        <v>45754.746527777781</v>
      </c>
      <c r="G94" t="s">
        <v>225</v>
      </c>
      <c r="H94" t="s">
        <v>120</v>
      </c>
    </row>
    <row r="95" spans="1:8" x14ac:dyDescent="0.3">
      <c r="A95" t="s">
        <v>214</v>
      </c>
      <c r="B95" t="s">
        <v>110</v>
      </c>
      <c r="C95" t="str">
        <f t="shared" si="2"/>
        <v>Google Pixel 8 Pro</v>
      </c>
      <c r="D95" t="str">
        <f t="shared" si="3"/>
        <v>Pro</v>
      </c>
      <c r="E95" s="1">
        <v>6999</v>
      </c>
      <c r="F95" s="6">
        <v>45755.399305555555</v>
      </c>
      <c r="G95" t="s">
        <v>224</v>
      </c>
      <c r="H95" t="s">
        <v>118</v>
      </c>
    </row>
    <row r="96" spans="1:8" x14ac:dyDescent="0.3">
      <c r="A96" t="s">
        <v>215</v>
      </c>
      <c r="B96" t="s">
        <v>111</v>
      </c>
      <c r="C96" t="str">
        <f t="shared" si="2"/>
        <v>西门子油烟机</v>
      </c>
      <c r="D96" t="str">
        <f t="shared" si="3"/>
        <v/>
      </c>
      <c r="E96" s="1">
        <v>4299</v>
      </c>
      <c r="F96" s="6">
        <v>45756.836805555555</v>
      </c>
      <c r="G96" t="s">
        <v>230</v>
      </c>
      <c r="H96" t="s">
        <v>117</v>
      </c>
    </row>
    <row r="97" spans="1:8" x14ac:dyDescent="0.3">
      <c r="A97" t="s">
        <v>216</v>
      </c>
      <c r="B97" t="s">
        <v>112</v>
      </c>
      <c r="C97" t="str">
        <f t="shared" si="2"/>
        <v>兰蔻粉水</v>
      </c>
      <c r="D97" t="str">
        <f t="shared" si="3"/>
        <v/>
      </c>
      <c r="E97" s="1">
        <v>320</v>
      </c>
      <c r="F97" s="6">
        <v>45757.451388888891</v>
      </c>
      <c r="G97" t="s">
        <v>228</v>
      </c>
      <c r="H97" t="s">
        <v>126</v>
      </c>
    </row>
    <row r="98" spans="1:8" x14ac:dyDescent="0.3">
      <c r="A98" t="s">
        <v>217</v>
      </c>
      <c r="B98" t="s">
        <v>113</v>
      </c>
      <c r="C98" t="str">
        <f t="shared" si="2"/>
        <v>微星绝影14</v>
      </c>
      <c r="D98" t="str">
        <f t="shared" si="3"/>
        <v/>
      </c>
      <c r="E98" s="1">
        <v>9999</v>
      </c>
      <c r="F98" s="6">
        <v>45758.677083333336</v>
      </c>
      <c r="G98" t="s">
        <v>232</v>
      </c>
      <c r="H98" t="s">
        <v>124</v>
      </c>
    </row>
    <row r="99" spans="1:8" x14ac:dyDescent="0.3">
      <c r="A99" t="s">
        <v>218</v>
      </c>
      <c r="B99" t="s">
        <v>114</v>
      </c>
      <c r="C99" t="str">
        <f t="shared" si="2"/>
        <v>花花公子皮带</v>
      </c>
      <c r="D99" t="str">
        <f t="shared" si="3"/>
        <v/>
      </c>
      <c r="E99" s="1">
        <v>129</v>
      </c>
      <c r="F99" s="6">
        <v>45759.819444444445</v>
      </c>
      <c r="G99" t="s">
        <v>229</v>
      </c>
      <c r="H99" t="s">
        <v>120</v>
      </c>
    </row>
    <row r="100" spans="1:8" x14ac:dyDescent="0.3">
      <c r="A100" t="s">
        <v>219</v>
      </c>
      <c r="B100" t="s">
        <v>115</v>
      </c>
      <c r="C100" t="str">
        <f t="shared" si="2"/>
        <v>魅族20 Pro</v>
      </c>
      <c r="D100" t="str">
        <f t="shared" si="3"/>
        <v>Pro</v>
      </c>
      <c r="E100" s="1">
        <v>3999</v>
      </c>
      <c r="F100" s="6">
        <v>45760.368055555555</v>
      </c>
      <c r="G100" t="s">
        <v>224</v>
      </c>
      <c r="H100" t="s">
        <v>118</v>
      </c>
    </row>
    <row r="101" spans="1:8" x14ac:dyDescent="0.3">
      <c r="A101" t="s">
        <v>220</v>
      </c>
      <c r="B101" t="s">
        <v>116</v>
      </c>
      <c r="C101" t="str">
        <f t="shared" si="2"/>
        <v>苏泊尔电磁炉</v>
      </c>
      <c r="D101" t="str">
        <f t="shared" si="3"/>
        <v/>
      </c>
      <c r="E101" s="1">
        <v>299</v>
      </c>
      <c r="F101" s="6">
        <v>45761.638888888891</v>
      </c>
      <c r="G101" t="s">
        <v>233</v>
      </c>
      <c r="H101" t="s">
        <v>117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C43498-62CB-469C-9982-1AA07BA80F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林希 钟</dc:creator>
  <cp:lastModifiedBy>林希 钟</cp:lastModifiedBy>
  <dcterms:created xsi:type="dcterms:W3CDTF">2026-04-02T09:39:34Z</dcterms:created>
  <dcterms:modified xsi:type="dcterms:W3CDTF">2026-04-02T10:30:58Z</dcterms:modified>
</cp:coreProperties>
</file>